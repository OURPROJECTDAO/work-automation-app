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♨1회성다운로드\배민상회\"/>
    </mc:Choice>
  </mc:AlternateContent>
  <xr:revisionPtr revIDLastSave="0" documentId="8_{4739A5FA-AA40-43C7-85E4-6A2649CA9457}" xr6:coauthVersionLast="47" xr6:coauthVersionMax="47" xr10:uidLastSave="{00000000-0000-0000-0000-000000000000}"/>
  <bookViews>
    <workbookView xWindow="28680" yWindow="-120" windowWidth="29040" windowHeight="15840" xr2:uid="{307E44B7-ADAA-496D-BE6D-5D042837C79E}"/>
  </bookViews>
  <sheets>
    <sheet name="(배민)양식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H28" i="1"/>
  <c r="G28" i="1"/>
  <c r="E28" i="1"/>
  <c r="D28" i="1"/>
  <c r="C28" i="1"/>
  <c r="B28" i="1"/>
  <c r="A28" i="1"/>
  <c r="J27" i="1"/>
  <c r="I27" i="1"/>
  <c r="H27" i="1"/>
  <c r="G27" i="1"/>
  <c r="E27" i="1"/>
  <c r="D27" i="1"/>
  <c r="C27" i="1"/>
  <c r="B27" i="1"/>
  <c r="A27" i="1"/>
  <c r="J26" i="1"/>
  <c r="I26" i="1"/>
  <c r="H26" i="1"/>
  <c r="G26" i="1"/>
  <c r="E26" i="1"/>
  <c r="D26" i="1"/>
  <c r="B26" i="1"/>
  <c r="A26" i="1"/>
  <c r="C26" i="1" s="1"/>
  <c r="J25" i="1"/>
  <c r="I25" i="1"/>
  <c r="H25" i="1"/>
  <c r="G25" i="1"/>
  <c r="E25" i="1"/>
  <c r="D25" i="1"/>
  <c r="B25" i="1"/>
  <c r="A25" i="1"/>
  <c r="C25" i="1" s="1"/>
  <c r="J24" i="1"/>
  <c r="I24" i="1"/>
  <c r="H24" i="1"/>
  <c r="G24" i="1"/>
  <c r="E24" i="1"/>
  <c r="D24" i="1"/>
  <c r="C24" i="1"/>
  <c r="B24" i="1"/>
  <c r="A24" i="1"/>
  <c r="J23" i="1"/>
  <c r="I23" i="1"/>
  <c r="H23" i="1"/>
  <c r="G23" i="1"/>
  <c r="E23" i="1"/>
  <c r="D23" i="1"/>
  <c r="C23" i="1"/>
  <c r="B23" i="1"/>
  <c r="A23" i="1"/>
  <c r="J22" i="1"/>
  <c r="I22" i="1"/>
  <c r="H22" i="1"/>
  <c r="G22" i="1"/>
  <c r="E22" i="1"/>
  <c r="D22" i="1"/>
  <c r="B22" i="1"/>
  <c r="A22" i="1"/>
  <c r="C22" i="1" s="1"/>
  <c r="J21" i="1"/>
  <c r="I21" i="1"/>
  <c r="H21" i="1"/>
  <c r="G21" i="1"/>
  <c r="E21" i="1"/>
  <c r="D21" i="1"/>
  <c r="B21" i="1"/>
  <c r="A21" i="1"/>
  <c r="C21" i="1" s="1"/>
  <c r="J20" i="1"/>
  <c r="I20" i="1"/>
  <c r="H20" i="1"/>
  <c r="G20" i="1"/>
  <c r="E20" i="1"/>
  <c r="D20" i="1"/>
  <c r="C20" i="1"/>
  <c r="B20" i="1"/>
  <c r="A20" i="1"/>
  <c r="J19" i="1"/>
  <c r="I19" i="1"/>
  <c r="H19" i="1"/>
  <c r="G19" i="1"/>
  <c r="E19" i="1"/>
  <c r="D19" i="1"/>
  <c r="C19" i="1"/>
  <c r="B19" i="1"/>
  <c r="A19" i="1"/>
  <c r="J18" i="1"/>
  <c r="I18" i="1"/>
  <c r="H18" i="1"/>
  <c r="G18" i="1"/>
  <c r="E18" i="1"/>
  <c r="D18" i="1"/>
  <c r="B18" i="1"/>
  <c r="A18" i="1"/>
  <c r="C18" i="1" s="1"/>
  <c r="J17" i="1"/>
  <c r="I17" i="1"/>
  <c r="H17" i="1"/>
  <c r="G17" i="1"/>
  <c r="E17" i="1"/>
  <c r="D17" i="1"/>
  <c r="B17" i="1"/>
  <c r="A17" i="1"/>
  <c r="C17" i="1" s="1"/>
  <c r="J16" i="1"/>
  <c r="I16" i="1"/>
  <c r="H16" i="1"/>
  <c r="G16" i="1"/>
  <c r="E16" i="1"/>
  <c r="D16" i="1"/>
  <c r="C16" i="1"/>
  <c r="B16" i="1"/>
  <c r="A16" i="1"/>
  <c r="J15" i="1"/>
  <c r="I15" i="1"/>
  <c r="H15" i="1"/>
  <c r="G15" i="1"/>
  <c r="E15" i="1"/>
  <c r="D15" i="1"/>
  <c r="C15" i="1"/>
  <c r="B15" i="1"/>
  <c r="A15" i="1"/>
  <c r="J14" i="1"/>
  <c r="I14" i="1"/>
  <c r="H14" i="1"/>
  <c r="G14" i="1"/>
  <c r="E14" i="1"/>
  <c r="D14" i="1"/>
  <c r="B14" i="1"/>
  <c r="A14" i="1"/>
  <c r="C14" i="1" s="1"/>
  <c r="J13" i="1"/>
  <c r="I13" i="1"/>
  <c r="H13" i="1"/>
  <c r="G13" i="1"/>
  <c r="E13" i="1"/>
  <c r="D13" i="1"/>
  <c r="B13" i="1"/>
  <c r="A13" i="1"/>
  <c r="C13" i="1" s="1"/>
  <c r="J12" i="1"/>
  <c r="I12" i="1"/>
  <c r="H12" i="1"/>
  <c r="G12" i="1"/>
  <c r="E12" i="1"/>
  <c r="D12" i="1"/>
  <c r="C12" i="1"/>
  <c r="B12" i="1"/>
  <c r="A12" i="1"/>
  <c r="J11" i="1"/>
  <c r="I11" i="1"/>
  <c r="H11" i="1"/>
  <c r="G11" i="1"/>
  <c r="E11" i="1"/>
  <c r="D11" i="1"/>
  <c r="C11" i="1"/>
  <c r="B11" i="1"/>
  <c r="A11" i="1"/>
  <c r="J10" i="1"/>
  <c r="I10" i="1"/>
  <c r="H10" i="1"/>
  <c r="G10" i="1"/>
  <c r="E10" i="1"/>
  <c r="D10" i="1"/>
  <c r="B10" i="1"/>
  <c r="A10" i="1"/>
  <c r="C10" i="1" s="1"/>
  <c r="J9" i="1"/>
  <c r="I9" i="1"/>
  <c r="H9" i="1"/>
  <c r="G9" i="1"/>
  <c r="E9" i="1"/>
  <c r="D9" i="1"/>
  <c r="B9" i="1"/>
  <c r="A9" i="1"/>
  <c r="C9" i="1" s="1"/>
  <c r="J8" i="1"/>
  <c r="I8" i="1"/>
  <c r="H8" i="1"/>
  <c r="G8" i="1"/>
  <c r="E8" i="1"/>
  <c r="D8" i="1"/>
  <c r="C8" i="1"/>
  <c r="B8" i="1"/>
  <c r="A8" i="1"/>
  <c r="J7" i="1"/>
  <c r="I7" i="1"/>
  <c r="H7" i="1"/>
  <c r="G7" i="1"/>
  <c r="E7" i="1"/>
  <c r="D7" i="1"/>
  <c r="C7" i="1"/>
  <c r="B7" i="1"/>
  <c r="A7" i="1"/>
  <c r="J6" i="1"/>
  <c r="I6" i="1"/>
  <c r="H6" i="1"/>
  <c r="G6" i="1"/>
  <c r="E6" i="1"/>
  <c r="D6" i="1"/>
  <c r="B6" i="1"/>
  <c r="A6" i="1"/>
  <c r="C6" i="1" s="1"/>
  <c r="J5" i="1"/>
  <c r="I5" i="1"/>
  <c r="H5" i="1"/>
  <c r="G5" i="1"/>
  <c r="E5" i="1"/>
  <c r="D5" i="1"/>
  <c r="B5" i="1"/>
  <c r="A5" i="1"/>
  <c r="C5" i="1" s="1"/>
  <c r="J4" i="1"/>
  <c r="I4" i="1"/>
  <c r="H4" i="1"/>
  <c r="G4" i="1"/>
  <c r="E4" i="1"/>
  <c r="D4" i="1"/>
  <c r="C4" i="1"/>
  <c r="B4" i="1"/>
  <c r="A4" i="1"/>
  <c r="J3" i="1"/>
  <c r="I3" i="1"/>
  <c r="H3" i="1"/>
  <c r="G3" i="1"/>
  <c r="E3" i="1"/>
  <c r="D3" i="1"/>
  <c r="C3" i="1"/>
  <c r="B3" i="1"/>
  <c r="A3" i="1"/>
  <c r="J2" i="1"/>
  <c r="M2" i="1" s="1"/>
  <c r="I2" i="1"/>
  <c r="H2" i="1"/>
  <c r="G2" i="1"/>
  <c r="E2" i="1"/>
  <c r="D2" i="1"/>
  <c r="B2" i="1"/>
  <c r="A2" i="1"/>
  <c r="C2" i="1" s="1"/>
</calcChain>
</file>

<file path=xl/sharedStrings.xml><?xml version="1.0" encoding="utf-8"?>
<sst xmlns="http://schemas.openxmlformats.org/spreadsheetml/2006/main" count="13" uniqueCount="13">
  <si>
    <t>상품번호</t>
  </si>
  <si>
    <t>상품명</t>
  </si>
  <si>
    <t>옵션번호</t>
  </si>
  <si>
    <t>옵션명</t>
  </si>
  <si>
    <t>관리용상품명</t>
  </si>
  <si>
    <t>배송센터</t>
    <phoneticPr fontId="3" type="noConversion"/>
  </si>
  <si>
    <t>현재 소비자가</t>
  </si>
  <si>
    <t>변경 소비자가 (필수)</t>
  </si>
  <si>
    <t>현재 판매가</t>
  </si>
  <si>
    <t>변경 판매가 (필수)</t>
  </si>
  <si>
    <t>반영일(0000-00-00)</t>
    <phoneticPr fontId="3" type="noConversion"/>
  </si>
  <si>
    <t>반영시각(00:00)</t>
    <phoneticPr fontId="3" type="noConversion"/>
  </si>
  <si>
    <t>변경소비자가/판매가 검토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</si>
</sst>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hh:mm"/>
  </numFmts>
  <fonts count="7">
    <font>
      <sz val="10"/>
      <name val="나눔고딕"/>
      <charset val="129"/>
    </font>
    <font>
      <b/>
      <sz val="10"/>
      <color theme="1"/>
      <name val="Arial"/>
      <family val="2"/>
    </font>
    <font>
      <sz val="8"/>
      <name val="나눔고딕"/>
      <charset val="129"/>
    </font>
    <font>
      <sz val="8"/>
      <name val="맑은 고딕"/>
      <family val="2"/>
      <charset val="129"/>
      <scheme val="minor"/>
    </font>
    <font>
      <b/>
      <sz val="10"/>
      <color rgb="FFFF0000"/>
      <name val="Arial"/>
      <family val="2"/>
    </font>
    <font>
      <b/>
      <sz val="10"/>
      <color rgb="FFFF0000"/>
      <name val="Malgun Gothic"/>
      <family val="2"/>
      <charset val="129"/>
    </font>
    <font>
      <sz val="10"/>
      <color rgb="FFFF0000"/>
      <name val="NanumGothic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0" fontId="6" fillId="0" borderId="0" xfId="0" applyFont="1"/>
  </cellXfs>
  <cellStyles count="1">
    <cellStyle name="표준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theme="5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9733;&#9832;1&#54924;&#49457;&#45796;&#50868;&#47196;&#46300;\&#48176;&#48124;&#49345;&#54924;\&#48176;&#48124;&#44032;&#44201;&#48148;&#44984;&#44592;.xlsm" TargetMode="External"/><Relationship Id="rId1" Type="http://schemas.openxmlformats.org/officeDocument/2006/relationships/externalLinkPath" Target="&#48176;&#48124;&#44032;&#44201;&#48148;&#44984;&#4459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(스마트스토어)일괄수정"/>
      <sheetName val="(스마트스토어)양식"/>
      <sheetName val="(스마트스토어)매크로파일"/>
      <sheetName val="(자사몰)일괄수정"/>
      <sheetName val="(자사몰)양식"/>
      <sheetName val="(자사몰)매크로파일"/>
      <sheetName val="(식봄)일괄수정"/>
      <sheetName val="(식봄)양식"/>
      <sheetName val="(식봄)매크로파일"/>
      <sheetName val="(캐시노트)일괄수정"/>
      <sheetName val="(캐시노트)양식"/>
      <sheetName val="(캐시노트)매크로파일"/>
      <sheetName val="(배민)일괄수정"/>
      <sheetName val="(배민)양식"/>
      <sheetName val="(배민)매크로파일"/>
      <sheetName val="(올웨이즈)일괄수정"/>
      <sheetName val="(올웨이즈)양식"/>
      <sheetName val="(올웨이즈)매크로파일"/>
      <sheetName val="(쿠팡)일괄수정"/>
      <sheetName val="(쿠팡)양식"/>
      <sheetName val="(쿠팡)매크로파일"/>
      <sheetName val="(ESM)일괄수정"/>
      <sheetName val="(ESM)양식"/>
      <sheetName val="(ESM)매크로파일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 t="str">
            <v>기본 정보</v>
          </cell>
          <cell r="R1" t="str">
            <v>옵션 정보</v>
          </cell>
        </row>
        <row r="2">
          <cell r="A2" t="str">
            <v>상품번호</v>
          </cell>
          <cell r="B2" t="str">
            <v>상품명</v>
          </cell>
          <cell r="C2" t="str">
            <v>상품카테고리 코드</v>
          </cell>
          <cell r="D2" t="str">
            <v>상품카테고리 명</v>
          </cell>
          <cell r="E2" t="str">
            <v>전시카테고리 코드</v>
          </cell>
          <cell r="F2" t="str">
            <v>전시카테고리 명</v>
          </cell>
          <cell r="G2" t="str">
            <v>판매기간 시작일</v>
          </cell>
          <cell r="H2" t="str">
            <v>판매기간 종료일</v>
          </cell>
          <cell r="I2" t="str">
            <v>검수요청여부</v>
          </cell>
          <cell r="J2" t="str">
            <v>진열 여부</v>
          </cell>
          <cell r="K2" t="str">
            <v>전시상품 품절 여부</v>
          </cell>
          <cell r="L2" t="str">
            <v>할인 정보 표시 방법</v>
          </cell>
          <cell r="M2" t="str">
            <v>1인당최대구매가능개수</v>
          </cell>
          <cell r="N2" t="str">
            <v>과세여부</v>
          </cell>
          <cell r="O2" t="str">
            <v>유통이력신고 대상유형</v>
          </cell>
          <cell r="P2" t="str">
            <v>축종</v>
          </cell>
          <cell r="Q2" t="str">
            <v>주문제작여부</v>
          </cell>
          <cell r="R2" t="str">
            <v>옵션번호</v>
          </cell>
        </row>
        <row r="3">
          <cell r="A3">
            <v>739375</v>
          </cell>
          <cell r="B3" t="str">
            <v>코라콜라 제로 업소용 355ml 48개</v>
          </cell>
          <cell r="C3" t="str">
            <v>101045</v>
          </cell>
          <cell r="D3" t="str">
            <v>식품 &gt; 생수/음료/커피 &gt; 음료 &gt; 탄산음료 &gt; 기타탄산음료</v>
          </cell>
          <cell r="E3" t="str">
            <v>102802</v>
          </cell>
          <cell r="F3" t="str">
            <v>기본카테고리 &gt; 가공식품 &gt; 음료/파우더/시럽 &gt; 탄산음료/기타음료</v>
          </cell>
          <cell r="G3" t="str">
            <v>2023-06-07 17:17:08</v>
          </cell>
          <cell r="H3" t="str">
            <v/>
          </cell>
          <cell r="I3" t="str">
            <v>Y</v>
          </cell>
          <cell r="J3" t="str">
            <v>Y</v>
          </cell>
          <cell r="K3" t="str">
            <v>N</v>
          </cell>
          <cell r="L3" t="str">
            <v>할인율</v>
          </cell>
          <cell r="M3">
            <v>0</v>
          </cell>
          <cell r="N3" t="str">
            <v>Y</v>
          </cell>
          <cell r="O3" t="str">
            <v>해당없음</v>
          </cell>
          <cell r="P3" t="str">
            <v>해당없음</v>
          </cell>
          <cell r="Q3" t="str">
            <v>N</v>
          </cell>
          <cell r="R3">
            <v>1447356</v>
          </cell>
        </row>
        <row r="4">
          <cell r="A4">
            <v>739373</v>
          </cell>
          <cell r="B4" t="str">
            <v>펩시콜라 355ml(업소용) 48개</v>
          </cell>
          <cell r="C4" t="str">
            <v>101044</v>
          </cell>
          <cell r="D4" t="str">
            <v>식품 &gt; 생수/음료/커피 &gt; 음료 &gt; 탄산음료 &gt; 콜라</v>
          </cell>
          <cell r="E4" t="str">
            <v>102802</v>
          </cell>
          <cell r="F4" t="str">
            <v>기본카테고리 &gt; 가공식품 &gt; 음료/파우더/시럽 &gt; 탄산음료/기타음료</v>
          </cell>
          <cell r="G4" t="str">
            <v>2023-06-07 17:17:08</v>
          </cell>
          <cell r="H4" t="str">
            <v/>
          </cell>
          <cell r="I4" t="str">
            <v>Y</v>
          </cell>
          <cell r="J4" t="str">
            <v>Y</v>
          </cell>
          <cell r="K4" t="str">
            <v>N</v>
          </cell>
          <cell r="L4" t="str">
            <v>할인율</v>
          </cell>
          <cell r="M4">
            <v>0</v>
          </cell>
          <cell r="N4" t="str">
            <v>Y</v>
          </cell>
          <cell r="O4" t="str">
            <v>해당없음</v>
          </cell>
          <cell r="P4" t="str">
            <v>해당없음</v>
          </cell>
          <cell r="Q4" t="str">
            <v>N</v>
          </cell>
          <cell r="R4">
            <v>1447354</v>
          </cell>
        </row>
        <row r="5">
          <cell r="A5">
            <v>739366</v>
          </cell>
          <cell r="B5" t="str">
            <v>코카콜라 355ml(업소용) 48개</v>
          </cell>
          <cell r="C5" t="str">
            <v>101044</v>
          </cell>
          <cell r="D5" t="str">
            <v>식품 &gt; 생수/음료/커피 &gt; 음료 &gt; 탄산음료 &gt; 콜라</v>
          </cell>
          <cell r="E5" t="str">
            <v>102802</v>
          </cell>
          <cell r="F5" t="str">
            <v>기본카테고리 &gt; 가공식품 &gt; 음료/파우더/시럽 &gt; 탄산음료/기타음료</v>
          </cell>
          <cell r="G5" t="str">
            <v>2023-06-07 17:27:01</v>
          </cell>
          <cell r="H5" t="str">
            <v/>
          </cell>
          <cell r="I5" t="str">
            <v>Y</v>
          </cell>
          <cell r="J5" t="str">
            <v>Y</v>
          </cell>
          <cell r="K5" t="str">
            <v>N</v>
          </cell>
          <cell r="L5" t="str">
            <v>할인율</v>
          </cell>
          <cell r="M5">
            <v>0</v>
          </cell>
          <cell r="N5" t="str">
            <v>Y</v>
          </cell>
          <cell r="O5" t="str">
            <v>해당없음</v>
          </cell>
          <cell r="P5" t="str">
            <v>해당없음</v>
          </cell>
          <cell r="Q5" t="str">
            <v>N</v>
          </cell>
          <cell r="R5">
            <v>1447346</v>
          </cell>
        </row>
        <row r="6">
          <cell r="A6">
            <v>569104</v>
          </cell>
          <cell r="B6" t="str">
            <v>웅징 아침햇살 고구마 500ml 20개</v>
          </cell>
          <cell r="C6" t="str">
            <v>101028</v>
          </cell>
          <cell r="D6" t="str">
            <v>식품 &gt; 생수/음료/커피 &gt; 음료 &gt; 건강/기능성음료 &gt; 기타건강/기능성음료</v>
          </cell>
          <cell r="E6" t="str">
            <v>102802</v>
          </cell>
          <cell r="F6" t="str">
            <v>기본카테고리 &gt; 가공식품 &gt; 음료/파우더/시럽 &gt; 탄산음료/기타음료</v>
          </cell>
          <cell r="G6" t="str">
            <v>2024-10-24 15:51:46</v>
          </cell>
          <cell r="H6" t="str">
            <v/>
          </cell>
          <cell r="I6" t="str">
            <v>Y</v>
          </cell>
          <cell r="J6" t="str">
            <v>Y</v>
          </cell>
          <cell r="K6" t="str">
            <v>N</v>
          </cell>
          <cell r="L6" t="str">
            <v>할인율</v>
          </cell>
          <cell r="M6">
            <v>0</v>
          </cell>
          <cell r="N6" t="str">
            <v>Y</v>
          </cell>
          <cell r="O6" t="str">
            <v>해당없음</v>
          </cell>
          <cell r="P6" t="str">
            <v/>
          </cell>
          <cell r="Q6" t="str">
            <v>N</v>
          </cell>
          <cell r="R6">
            <v>1106029</v>
          </cell>
        </row>
        <row r="7">
          <cell r="A7">
            <v>569103</v>
          </cell>
          <cell r="B7" t="str">
            <v>웅진 아침햇살 옥수수 500ml 20개</v>
          </cell>
          <cell r="C7" t="str">
            <v>101028</v>
          </cell>
          <cell r="D7" t="str">
            <v>식품 &gt; 생수/음료/커피 &gt; 음료 &gt; 건강/기능성음료 &gt; 기타건강/기능성음료</v>
          </cell>
          <cell r="E7" t="str">
            <v>102802</v>
          </cell>
          <cell r="F7" t="str">
            <v>기본카테고리 &gt; 가공식품 &gt; 음료/파우더/시럽 &gt; 탄산음료/기타음료</v>
          </cell>
          <cell r="G7" t="str">
            <v>2024-10-24 15:51:46</v>
          </cell>
          <cell r="H7" t="str">
            <v/>
          </cell>
          <cell r="I7" t="str">
            <v>Y</v>
          </cell>
          <cell r="J7" t="str">
            <v>Y</v>
          </cell>
          <cell r="K7" t="str">
            <v>N</v>
          </cell>
          <cell r="L7" t="str">
            <v>할인율</v>
          </cell>
          <cell r="M7">
            <v>0</v>
          </cell>
          <cell r="N7" t="str">
            <v>Y</v>
          </cell>
          <cell r="O7" t="str">
            <v>해당없음</v>
          </cell>
          <cell r="P7" t="str">
            <v/>
          </cell>
          <cell r="Q7" t="str">
            <v>N</v>
          </cell>
          <cell r="R7">
            <v>1106028</v>
          </cell>
        </row>
        <row r="8">
          <cell r="A8">
            <v>569102</v>
          </cell>
          <cell r="B8" t="str">
            <v>코카콜라제로(업소) 1.25L 12개</v>
          </cell>
          <cell r="C8" t="str">
            <v>101044</v>
          </cell>
          <cell r="D8" t="str">
            <v>식품 &gt; 생수/음료/커피 &gt; 음료 &gt; 탄산음료 &gt; 콜라</v>
          </cell>
          <cell r="E8" t="str">
            <v>102802</v>
          </cell>
          <cell r="F8" t="str">
            <v>기본카테고리 &gt; 가공식품 &gt; 음료/파우더/시럽 &gt; 탄산음료/기타음료</v>
          </cell>
          <cell r="G8" t="str">
            <v>2024-10-24 15:51:46</v>
          </cell>
          <cell r="H8" t="str">
            <v/>
          </cell>
          <cell r="I8" t="str">
            <v>Y</v>
          </cell>
          <cell r="J8" t="str">
            <v>Y</v>
          </cell>
          <cell r="K8" t="str">
            <v>N</v>
          </cell>
          <cell r="L8" t="str">
            <v>할인율</v>
          </cell>
          <cell r="M8">
            <v>0</v>
          </cell>
          <cell r="N8" t="str">
            <v>Y</v>
          </cell>
          <cell r="O8" t="str">
            <v>해당없음</v>
          </cell>
          <cell r="P8" t="str">
            <v/>
          </cell>
          <cell r="Q8" t="str">
            <v>N</v>
          </cell>
          <cell r="R8">
            <v>1106027</v>
          </cell>
        </row>
        <row r="9">
          <cell r="A9">
            <v>569100</v>
          </cell>
          <cell r="B9" t="str">
            <v>티오피 더블랙 380ml 24개</v>
          </cell>
          <cell r="C9" t="str">
            <v>101060</v>
          </cell>
          <cell r="D9" t="str">
            <v>식품 &gt; 생수/음료/커피 &gt; 커피 &gt; 커피음료</v>
          </cell>
          <cell r="E9" t="str">
            <v>102801</v>
          </cell>
          <cell r="F9" t="str">
            <v>기본카테고리 &gt; 가공식품 &gt; 음료/파우더/시럽 &gt; 커피/원두</v>
          </cell>
          <cell r="G9" t="str">
            <v>2024-10-24 15:51:46</v>
          </cell>
          <cell r="H9" t="str">
            <v/>
          </cell>
          <cell r="I9" t="str">
            <v>Y</v>
          </cell>
          <cell r="J9" t="str">
            <v>Y</v>
          </cell>
          <cell r="K9" t="str">
            <v>N</v>
          </cell>
          <cell r="L9" t="str">
            <v>할인율</v>
          </cell>
          <cell r="M9">
            <v>0</v>
          </cell>
          <cell r="N9" t="str">
            <v>Y</v>
          </cell>
          <cell r="O9" t="str">
            <v>해당없음</v>
          </cell>
          <cell r="P9" t="str">
            <v/>
          </cell>
          <cell r="Q9" t="str">
            <v>N</v>
          </cell>
          <cell r="R9">
            <v>1106025</v>
          </cell>
        </row>
        <row r="10">
          <cell r="A10">
            <v>569099</v>
          </cell>
          <cell r="B10" t="str">
            <v>티오피 스위트아메리카노 380ml 24개</v>
          </cell>
          <cell r="C10" t="str">
            <v>101060</v>
          </cell>
          <cell r="D10" t="str">
            <v>식품 &gt; 생수/음료/커피 &gt; 커피 &gt; 커피음료</v>
          </cell>
          <cell r="E10" t="str">
            <v>102801</v>
          </cell>
          <cell r="F10" t="str">
            <v>기본카테고리 &gt; 가공식품 &gt; 음료/파우더/시럽 &gt; 커피/원두</v>
          </cell>
          <cell r="G10" t="str">
            <v>2024-10-24 15:51:46</v>
          </cell>
          <cell r="H10" t="str">
            <v/>
          </cell>
          <cell r="I10" t="str">
            <v>Y</v>
          </cell>
          <cell r="J10" t="str">
            <v>Y</v>
          </cell>
          <cell r="K10" t="str">
            <v>N</v>
          </cell>
          <cell r="L10" t="str">
            <v>할인율</v>
          </cell>
          <cell r="M10">
            <v>0</v>
          </cell>
          <cell r="N10" t="str">
            <v>Y</v>
          </cell>
          <cell r="O10" t="str">
            <v>해당없음</v>
          </cell>
          <cell r="P10" t="str">
            <v/>
          </cell>
          <cell r="Q10" t="str">
            <v>N</v>
          </cell>
          <cell r="R10">
            <v>1106024</v>
          </cell>
        </row>
        <row r="11">
          <cell r="A11">
            <v>569098</v>
          </cell>
          <cell r="B11" t="str">
            <v>티오피 마스터라떼 380ml 24개</v>
          </cell>
          <cell r="C11" t="str">
            <v>101060</v>
          </cell>
          <cell r="D11" t="str">
            <v>식품 &gt; 생수/음료/커피 &gt; 커피 &gt; 커피음료</v>
          </cell>
          <cell r="E11" t="str">
            <v>102801</v>
          </cell>
          <cell r="F11" t="str">
            <v>기본카테고리 &gt; 가공식품 &gt; 음료/파우더/시럽 &gt; 커피/원두</v>
          </cell>
          <cell r="G11" t="str">
            <v>2024-10-24 15:51:46</v>
          </cell>
          <cell r="H11" t="str">
            <v/>
          </cell>
          <cell r="I11" t="str">
            <v>Y</v>
          </cell>
          <cell r="J11" t="str">
            <v>Y</v>
          </cell>
          <cell r="K11" t="str">
            <v>N</v>
          </cell>
          <cell r="L11" t="str">
            <v>할인율</v>
          </cell>
          <cell r="M11">
            <v>0</v>
          </cell>
          <cell r="N11" t="str">
            <v>Y</v>
          </cell>
          <cell r="O11" t="str">
            <v>해당없음</v>
          </cell>
          <cell r="P11" t="str">
            <v/>
          </cell>
          <cell r="Q11" t="str">
            <v>N</v>
          </cell>
          <cell r="R11">
            <v>1106023</v>
          </cell>
        </row>
        <row r="12">
          <cell r="A12">
            <v>569096</v>
          </cell>
          <cell r="B12" t="str">
            <v>뽀로로 복숭아 235ml 24개</v>
          </cell>
          <cell r="C12" t="str">
            <v>115210</v>
          </cell>
          <cell r="D12" t="str">
            <v>식품 &gt; 생수/음료/커피 &gt; 음료 &gt; 과일/야채음료</v>
          </cell>
          <cell r="E12" t="str">
            <v>102802</v>
          </cell>
          <cell r="F12" t="str">
            <v>기본카테고리 &gt; 가공식품 &gt; 음료/파우더/시럽 &gt; 탄산음료/기타음료</v>
          </cell>
          <cell r="G12" t="str">
            <v>2024-10-24 15:51:46</v>
          </cell>
          <cell r="H12" t="str">
            <v/>
          </cell>
          <cell r="I12" t="str">
            <v>Y</v>
          </cell>
          <cell r="J12" t="str">
            <v>Y</v>
          </cell>
          <cell r="K12" t="str">
            <v>N</v>
          </cell>
          <cell r="L12" t="str">
            <v>할인율</v>
          </cell>
          <cell r="M12">
            <v>0</v>
          </cell>
          <cell r="N12" t="str">
            <v>Y</v>
          </cell>
          <cell r="O12" t="str">
            <v>해당없음</v>
          </cell>
          <cell r="P12" t="str">
            <v/>
          </cell>
          <cell r="Q12" t="str">
            <v>N</v>
          </cell>
          <cell r="R12">
            <v>1106021</v>
          </cell>
        </row>
        <row r="13">
          <cell r="A13">
            <v>569095</v>
          </cell>
          <cell r="B13" t="str">
            <v>티오피 마스터라떼 275ml 24개</v>
          </cell>
          <cell r="C13" t="str">
            <v>101060</v>
          </cell>
          <cell r="D13" t="str">
            <v>식품 &gt; 생수/음료/커피 &gt; 커피 &gt; 커피음료</v>
          </cell>
          <cell r="E13" t="str">
            <v>102801</v>
          </cell>
          <cell r="F13" t="str">
            <v>기본카테고리 &gt; 가공식품 &gt; 음료/파우더/시럽 &gt; 커피/원두</v>
          </cell>
          <cell r="G13" t="str">
            <v>2024-10-24 15:51:46</v>
          </cell>
          <cell r="H13" t="str">
            <v/>
          </cell>
          <cell r="I13" t="str">
            <v>Y</v>
          </cell>
          <cell r="J13" t="str">
            <v>Y</v>
          </cell>
          <cell r="K13" t="str">
            <v>N</v>
          </cell>
          <cell r="L13" t="str">
            <v>할인율</v>
          </cell>
          <cell r="M13">
            <v>0</v>
          </cell>
          <cell r="N13" t="str">
            <v>Y</v>
          </cell>
          <cell r="O13" t="str">
            <v>해당없음</v>
          </cell>
          <cell r="P13" t="str">
            <v/>
          </cell>
          <cell r="Q13" t="str">
            <v>N</v>
          </cell>
          <cell r="R13">
            <v>1106020</v>
          </cell>
        </row>
        <row r="14">
          <cell r="A14">
            <v>569094</v>
          </cell>
          <cell r="B14" t="str">
            <v>티오피 더블랙 275ml 24개</v>
          </cell>
          <cell r="C14" t="str">
            <v>101060</v>
          </cell>
          <cell r="D14" t="str">
            <v>식품 &gt; 생수/음료/커피 &gt; 커피 &gt; 커피음료</v>
          </cell>
          <cell r="E14" t="str">
            <v>102801</v>
          </cell>
          <cell r="F14" t="str">
            <v>기본카테고리 &gt; 가공식품 &gt; 음료/파우더/시럽 &gt; 커피/원두</v>
          </cell>
          <cell r="G14" t="str">
            <v>2024-10-24 15:51:46</v>
          </cell>
          <cell r="H14" t="str">
            <v/>
          </cell>
          <cell r="I14" t="str">
            <v>Y</v>
          </cell>
          <cell r="J14" t="str">
            <v>Y</v>
          </cell>
          <cell r="K14" t="str">
            <v>N</v>
          </cell>
          <cell r="L14" t="str">
            <v>할인율</v>
          </cell>
          <cell r="M14">
            <v>0</v>
          </cell>
          <cell r="N14" t="str">
            <v>Y</v>
          </cell>
          <cell r="O14" t="str">
            <v>해당없음</v>
          </cell>
          <cell r="P14" t="str">
            <v/>
          </cell>
          <cell r="Q14" t="str">
            <v>N</v>
          </cell>
          <cell r="R14">
            <v>1106019</v>
          </cell>
        </row>
        <row r="15">
          <cell r="A15">
            <v>569093</v>
          </cell>
          <cell r="B15" t="str">
            <v>티오피 스위트아메리카노 275ml 24개</v>
          </cell>
          <cell r="C15" t="str">
            <v>101060</v>
          </cell>
          <cell r="D15" t="str">
            <v>식품 &gt; 생수/음료/커피 &gt; 커피 &gt; 커피음료</v>
          </cell>
          <cell r="E15" t="str">
            <v>102801</v>
          </cell>
          <cell r="F15" t="str">
            <v>기본카테고리 &gt; 가공식품 &gt; 음료/파우더/시럽 &gt; 커피/원두</v>
          </cell>
          <cell r="G15" t="str">
            <v>2024-10-24 15:51:46</v>
          </cell>
          <cell r="H15" t="str">
            <v/>
          </cell>
          <cell r="I15" t="str">
            <v>Y</v>
          </cell>
          <cell r="J15" t="str">
            <v>Y</v>
          </cell>
          <cell r="K15" t="str">
            <v>N</v>
          </cell>
          <cell r="L15" t="str">
            <v>할인율</v>
          </cell>
          <cell r="M15">
            <v>0</v>
          </cell>
          <cell r="N15" t="str">
            <v>Y</v>
          </cell>
          <cell r="O15" t="str">
            <v>해당없음</v>
          </cell>
          <cell r="P15" t="str">
            <v/>
          </cell>
          <cell r="Q15" t="str">
            <v>N</v>
          </cell>
          <cell r="R15">
            <v>1106018</v>
          </cell>
        </row>
        <row r="16">
          <cell r="A16">
            <v>569092</v>
          </cell>
          <cell r="B16" t="str">
            <v>티오피 마스터라떼 200ml 36개</v>
          </cell>
          <cell r="C16" t="str">
            <v>101060</v>
          </cell>
          <cell r="D16" t="str">
            <v>식품 &gt; 생수/음료/커피 &gt; 커피 &gt; 커피음료</v>
          </cell>
          <cell r="E16" t="str">
            <v>102801</v>
          </cell>
          <cell r="F16" t="str">
            <v>기본카테고리 &gt; 가공식품 &gt; 음료/파우더/시럽 &gt; 커피/원두</v>
          </cell>
          <cell r="G16" t="str">
            <v>2024-10-24 15:51:46</v>
          </cell>
          <cell r="H16" t="str">
            <v/>
          </cell>
          <cell r="I16" t="str">
            <v>Y</v>
          </cell>
          <cell r="J16" t="str">
            <v>Y</v>
          </cell>
          <cell r="K16" t="str">
            <v>N</v>
          </cell>
          <cell r="L16" t="str">
            <v>할인율</v>
          </cell>
          <cell r="M16">
            <v>0</v>
          </cell>
          <cell r="N16" t="str">
            <v>Y</v>
          </cell>
          <cell r="O16" t="str">
            <v>해당없음</v>
          </cell>
          <cell r="P16" t="str">
            <v/>
          </cell>
          <cell r="Q16" t="str">
            <v>N</v>
          </cell>
          <cell r="R16">
            <v>1106017</v>
          </cell>
        </row>
        <row r="17">
          <cell r="A17">
            <v>569091</v>
          </cell>
          <cell r="B17" t="str">
            <v>티오피 스위트아메리카노 200ml 36개</v>
          </cell>
          <cell r="C17" t="str">
            <v>101060</v>
          </cell>
          <cell r="D17" t="str">
            <v>식품 &gt; 생수/음료/커피 &gt; 커피 &gt; 커피음료</v>
          </cell>
          <cell r="E17" t="str">
            <v>102801</v>
          </cell>
          <cell r="F17" t="str">
            <v>기본카테고리 &gt; 가공식품 &gt; 음료/파우더/시럽 &gt; 커피/원두</v>
          </cell>
          <cell r="G17" t="str">
            <v>2024-10-24 15:51:46</v>
          </cell>
          <cell r="H17" t="str">
            <v/>
          </cell>
          <cell r="I17" t="str">
            <v>Y</v>
          </cell>
          <cell r="J17" t="str">
            <v>Y</v>
          </cell>
          <cell r="K17" t="str">
            <v>N</v>
          </cell>
          <cell r="L17" t="str">
            <v>할인율</v>
          </cell>
          <cell r="M17">
            <v>0</v>
          </cell>
          <cell r="N17" t="str">
            <v>Y</v>
          </cell>
          <cell r="O17" t="str">
            <v>해당없음</v>
          </cell>
          <cell r="P17" t="str">
            <v/>
          </cell>
          <cell r="Q17" t="str">
            <v>N</v>
          </cell>
          <cell r="R17">
            <v>1106016</v>
          </cell>
        </row>
        <row r="18">
          <cell r="A18">
            <v>569090</v>
          </cell>
          <cell r="B18" t="str">
            <v>티오피 더블랙 200ml 36개</v>
          </cell>
          <cell r="C18" t="str">
            <v>101060</v>
          </cell>
          <cell r="D18" t="str">
            <v>식품 &gt; 생수/음료/커피 &gt; 커피 &gt; 커피음료</v>
          </cell>
          <cell r="E18" t="str">
            <v>102801</v>
          </cell>
          <cell r="F18" t="str">
            <v>기본카테고리 &gt; 가공식품 &gt; 음료/파우더/시럽 &gt; 커피/원두</v>
          </cell>
          <cell r="G18" t="str">
            <v>2024-10-24 15:51:46</v>
          </cell>
          <cell r="H18" t="str">
            <v/>
          </cell>
          <cell r="I18" t="str">
            <v>Y</v>
          </cell>
          <cell r="J18" t="str">
            <v>Y</v>
          </cell>
          <cell r="K18" t="str">
            <v>N</v>
          </cell>
          <cell r="L18" t="str">
            <v>할인율</v>
          </cell>
          <cell r="M18">
            <v>0</v>
          </cell>
          <cell r="N18" t="str">
            <v>Y</v>
          </cell>
          <cell r="O18" t="str">
            <v>해당없음</v>
          </cell>
          <cell r="P18" t="str">
            <v/>
          </cell>
          <cell r="Q18" t="str">
            <v>N</v>
          </cell>
          <cell r="R18">
            <v>1106015</v>
          </cell>
        </row>
        <row r="19">
          <cell r="A19">
            <v>569089</v>
          </cell>
          <cell r="B19" t="str">
            <v>웅진 자연은 망고 캔 180ml 30개</v>
          </cell>
          <cell r="C19" t="str">
            <v>115210</v>
          </cell>
          <cell r="D19" t="str">
            <v>식품 &gt; 생수/음료/커피 &gt; 음료 &gt; 과일/야채음료</v>
          </cell>
          <cell r="E19" t="str">
            <v>102802</v>
          </cell>
          <cell r="F19" t="str">
            <v>기본카테고리 &gt; 가공식품 &gt; 음료/파우더/시럽 &gt; 탄산음료/기타음료</v>
          </cell>
          <cell r="G19" t="str">
            <v>2024-10-24 15:51:46</v>
          </cell>
          <cell r="H19" t="str">
            <v/>
          </cell>
          <cell r="I19" t="str">
            <v>Y</v>
          </cell>
          <cell r="J19" t="str">
            <v>Y</v>
          </cell>
          <cell r="K19" t="str">
            <v>N</v>
          </cell>
          <cell r="L19" t="str">
            <v>할인율</v>
          </cell>
          <cell r="M19">
            <v>0</v>
          </cell>
          <cell r="N19" t="str">
            <v>Y</v>
          </cell>
          <cell r="O19" t="str">
            <v>해당없음</v>
          </cell>
          <cell r="P19" t="str">
            <v/>
          </cell>
          <cell r="Q19" t="str">
            <v>N</v>
          </cell>
          <cell r="R19">
            <v>1106014</v>
          </cell>
        </row>
        <row r="20">
          <cell r="A20">
            <v>569087</v>
          </cell>
          <cell r="B20" t="str">
            <v>참맑은 복분자 175ml 30개</v>
          </cell>
          <cell r="C20" t="str">
            <v>101040</v>
          </cell>
          <cell r="D20" t="str">
            <v>식품 &gt; 생수/음료/커피 &gt; 음료 &gt; 전통/차음료 &gt; 기타차음료</v>
          </cell>
          <cell r="E20" t="str">
            <v>102802</v>
          </cell>
          <cell r="F20" t="str">
            <v>기본카테고리 &gt; 가공식품 &gt; 음료/파우더/시럽 &gt; 탄산음료/기타음료</v>
          </cell>
          <cell r="G20" t="str">
            <v>2024-10-24 15:51:46</v>
          </cell>
          <cell r="H20" t="str">
            <v/>
          </cell>
          <cell r="I20" t="str">
            <v>Y</v>
          </cell>
          <cell r="J20" t="str">
            <v>Y</v>
          </cell>
          <cell r="K20" t="str">
            <v>N</v>
          </cell>
          <cell r="L20" t="str">
            <v>할인율</v>
          </cell>
          <cell r="M20">
            <v>0</v>
          </cell>
          <cell r="N20" t="str">
            <v>Y</v>
          </cell>
          <cell r="O20" t="str">
            <v>해당없음</v>
          </cell>
          <cell r="P20" t="str">
            <v/>
          </cell>
          <cell r="Q20" t="str">
            <v>N</v>
          </cell>
          <cell r="R20">
            <v>1106012</v>
          </cell>
        </row>
        <row r="21">
          <cell r="A21">
            <v>569086</v>
          </cell>
          <cell r="B21" t="str">
            <v>참맑은 비스카페라떼 175ml 30개</v>
          </cell>
          <cell r="C21" t="str">
            <v>101060</v>
          </cell>
          <cell r="D21" t="str">
            <v>식품 &gt; 생수/음료/커피 &gt; 커피 &gt; 커피음료</v>
          </cell>
          <cell r="E21" t="str">
            <v>102801</v>
          </cell>
          <cell r="F21" t="str">
            <v>기본카테고리 &gt; 가공식품 &gt; 음료/파우더/시럽 &gt; 커피/원두</v>
          </cell>
          <cell r="G21" t="str">
            <v>2024-10-24 15:51:46</v>
          </cell>
          <cell r="H21" t="str">
            <v/>
          </cell>
          <cell r="I21" t="str">
            <v>Y</v>
          </cell>
          <cell r="J21" t="str">
            <v>Y</v>
          </cell>
          <cell r="K21" t="str">
            <v>N</v>
          </cell>
          <cell r="L21" t="str">
            <v>할인율</v>
          </cell>
          <cell r="M21">
            <v>0</v>
          </cell>
          <cell r="N21" t="str">
            <v>Y</v>
          </cell>
          <cell r="O21" t="str">
            <v>해당없음</v>
          </cell>
          <cell r="P21" t="str">
            <v/>
          </cell>
          <cell r="Q21" t="str">
            <v>N</v>
          </cell>
          <cell r="R21">
            <v>1106011</v>
          </cell>
        </row>
        <row r="22">
          <cell r="A22">
            <v>569085</v>
          </cell>
          <cell r="B22" t="str">
            <v>스프라이트 190ml 30개</v>
          </cell>
          <cell r="C22" t="str">
            <v>101042</v>
          </cell>
          <cell r="D22" t="str">
            <v>식품 &gt; 생수/음료/커피 &gt; 음료 &gt; 탄산음료 &gt; 사이다</v>
          </cell>
          <cell r="E22" t="str">
            <v>102802</v>
          </cell>
          <cell r="F22" t="str">
            <v>기본카테고리 &gt; 가공식품 &gt; 음료/파우더/시럽 &gt; 탄산음료/기타음료</v>
          </cell>
          <cell r="G22" t="str">
            <v>2024-10-24 15:51:46</v>
          </cell>
          <cell r="H22" t="str">
            <v/>
          </cell>
          <cell r="I22" t="str">
            <v>Y</v>
          </cell>
          <cell r="J22" t="str">
            <v>Y</v>
          </cell>
          <cell r="K22" t="str">
            <v>N</v>
          </cell>
          <cell r="L22" t="str">
            <v>할인율</v>
          </cell>
          <cell r="M22">
            <v>0</v>
          </cell>
          <cell r="N22" t="str">
            <v>Y</v>
          </cell>
          <cell r="O22" t="str">
            <v>해당없음</v>
          </cell>
          <cell r="P22" t="str">
            <v/>
          </cell>
          <cell r="Q22" t="str">
            <v>N</v>
          </cell>
          <cell r="R22">
            <v>1106010</v>
          </cell>
        </row>
        <row r="23">
          <cell r="A23">
            <v>485029</v>
          </cell>
          <cell r="B23" t="str">
            <v>참맑은 사과 175ml 30개</v>
          </cell>
          <cell r="C23" t="str">
            <v>115210</v>
          </cell>
          <cell r="D23" t="str">
            <v>식품 &gt; 생수/음료/커피 &gt; 음료 &gt; 과일/야채음료</v>
          </cell>
          <cell r="E23" t="str">
            <v>102802</v>
          </cell>
          <cell r="F23" t="str">
            <v>기본카테고리 &gt; 가공식품 &gt; 음료/파우더/시럽 &gt; 탄산음료/기타음료</v>
          </cell>
          <cell r="G23" t="str">
            <v>2024-05-02 17:07:56</v>
          </cell>
          <cell r="H23" t="str">
            <v/>
          </cell>
          <cell r="I23" t="str">
            <v>Y</v>
          </cell>
          <cell r="J23" t="str">
            <v>Y</v>
          </cell>
          <cell r="K23" t="str">
            <v>N</v>
          </cell>
          <cell r="L23" t="str">
            <v>할인율</v>
          </cell>
          <cell r="M23">
            <v>0</v>
          </cell>
          <cell r="N23" t="str">
            <v>Y</v>
          </cell>
          <cell r="O23" t="str">
            <v>해당없음</v>
          </cell>
          <cell r="P23" t="str">
            <v/>
          </cell>
          <cell r="Q23" t="str">
            <v>N</v>
          </cell>
          <cell r="R23">
            <v>926616</v>
          </cell>
        </row>
        <row r="24">
          <cell r="A24">
            <v>485028</v>
          </cell>
          <cell r="B24" t="str">
            <v>참맑은 배 175ml 30개</v>
          </cell>
          <cell r="C24" t="str">
            <v>115210</v>
          </cell>
          <cell r="D24" t="str">
            <v>식품 &gt; 생수/음료/커피 &gt; 음료 &gt; 과일/야채음료</v>
          </cell>
          <cell r="E24" t="str">
            <v>102802</v>
          </cell>
          <cell r="F24" t="str">
            <v>기본카테고리 &gt; 가공식품 &gt; 음료/파우더/시럽 &gt; 탄산음료/기타음료</v>
          </cell>
          <cell r="G24" t="str">
            <v>2024-05-02 17:07:56</v>
          </cell>
          <cell r="H24" t="str">
            <v/>
          </cell>
          <cell r="I24" t="str">
            <v>Y</v>
          </cell>
          <cell r="J24" t="str">
            <v>Y</v>
          </cell>
          <cell r="K24" t="str">
            <v>N</v>
          </cell>
          <cell r="L24" t="str">
            <v>할인율</v>
          </cell>
          <cell r="M24">
            <v>0</v>
          </cell>
          <cell r="N24" t="str">
            <v>Y</v>
          </cell>
          <cell r="O24" t="str">
            <v>해당없음</v>
          </cell>
          <cell r="P24" t="str">
            <v/>
          </cell>
          <cell r="Q24" t="str">
            <v>N</v>
          </cell>
          <cell r="R24">
            <v>926615</v>
          </cell>
        </row>
        <row r="25">
          <cell r="A25">
            <v>485027</v>
          </cell>
          <cell r="B25" t="str">
            <v>참맑은 머스캣 175ml 30개</v>
          </cell>
          <cell r="C25" t="str">
            <v>115210</v>
          </cell>
          <cell r="D25" t="str">
            <v>식품 &gt; 생수/음료/커피 &gt; 음료 &gt; 과일/야채음료</v>
          </cell>
          <cell r="E25" t="str">
            <v>102802</v>
          </cell>
          <cell r="F25" t="str">
            <v>기본카테고리 &gt; 가공식품 &gt; 음료/파우더/시럽 &gt; 탄산음료/기타음료</v>
          </cell>
          <cell r="G25" t="str">
            <v>2024-05-02 17:07:56</v>
          </cell>
          <cell r="H25" t="str">
            <v/>
          </cell>
          <cell r="I25" t="str">
            <v>Y</v>
          </cell>
          <cell r="J25" t="str">
            <v>Y</v>
          </cell>
          <cell r="K25" t="str">
            <v>N</v>
          </cell>
          <cell r="L25" t="str">
            <v>할인율</v>
          </cell>
          <cell r="M25">
            <v>0</v>
          </cell>
          <cell r="N25" t="str">
            <v>Y</v>
          </cell>
          <cell r="O25" t="str">
            <v>해당없음</v>
          </cell>
          <cell r="P25" t="str">
            <v/>
          </cell>
          <cell r="Q25" t="str">
            <v>N</v>
          </cell>
          <cell r="R25">
            <v>926614</v>
          </cell>
        </row>
        <row r="26">
          <cell r="A26">
            <v>477193</v>
          </cell>
          <cell r="B26" t="str">
            <v>비락식혜제로1.5 (48)</v>
          </cell>
          <cell r="C26" t="str">
            <v>101034</v>
          </cell>
          <cell r="D26" t="str">
            <v>식품 &gt; 생수/음료/커피 &gt; 음료 &gt; 전통/차음료 &gt; 식혜</v>
          </cell>
          <cell r="E26" t="str">
            <v>102802</v>
          </cell>
          <cell r="F26" t="str">
            <v>기본카테고리 &gt; 가공식품 &gt; 음료/파우더/시럽 &gt; 탄산음료/기타음료</v>
          </cell>
          <cell r="G26" t="str">
            <v>2024-04-12 13:30:16</v>
          </cell>
          <cell r="H26" t="str">
            <v/>
          </cell>
          <cell r="I26" t="str">
            <v>Y</v>
          </cell>
          <cell r="J26" t="str">
            <v>Y</v>
          </cell>
          <cell r="K26" t="str">
            <v>N</v>
          </cell>
          <cell r="L26" t="str">
            <v>할인율</v>
          </cell>
          <cell r="M26">
            <v>0</v>
          </cell>
          <cell r="N26" t="str">
            <v>Y</v>
          </cell>
          <cell r="O26" t="str">
            <v>해당없음</v>
          </cell>
          <cell r="P26" t="str">
            <v>해당없음</v>
          </cell>
          <cell r="Q26" t="str">
            <v>N</v>
          </cell>
          <cell r="R26">
            <v>906775</v>
          </cell>
        </row>
        <row r="27">
          <cell r="A27">
            <v>477192</v>
          </cell>
          <cell r="B27" t="str">
            <v>비락식혜 제로 238ml 24개</v>
          </cell>
          <cell r="C27" t="str">
            <v>101034</v>
          </cell>
          <cell r="D27" t="str">
            <v>식품 &gt; 생수/음료/커피 &gt; 음료 &gt; 전통/차음료 &gt; 식혜</v>
          </cell>
          <cell r="E27" t="str">
            <v>102802</v>
          </cell>
          <cell r="F27" t="str">
            <v>기본카테고리 &gt; 가공식품 &gt; 음료/파우더/시럽 &gt; 탄산음료/기타음료</v>
          </cell>
          <cell r="G27" t="str">
            <v>2024-04-12 13:30:16</v>
          </cell>
          <cell r="H27" t="str">
            <v/>
          </cell>
          <cell r="I27" t="str">
            <v>Y</v>
          </cell>
          <cell r="J27" t="str">
            <v>Y</v>
          </cell>
          <cell r="K27" t="str">
            <v>N</v>
          </cell>
          <cell r="L27" t="str">
            <v>할인율</v>
          </cell>
          <cell r="M27">
            <v>0</v>
          </cell>
          <cell r="N27" t="str">
            <v>Y</v>
          </cell>
          <cell r="O27" t="str">
            <v>해당없음</v>
          </cell>
          <cell r="P27" t="str">
            <v>해당없음</v>
          </cell>
          <cell r="Q27" t="str">
            <v>N</v>
          </cell>
          <cell r="R27">
            <v>906772</v>
          </cell>
        </row>
        <row r="28">
          <cell r="A28">
            <v>464063</v>
          </cell>
          <cell r="B28" t="str">
            <v>몬스터에너지 355ml 피치킨 24캔</v>
          </cell>
          <cell r="C28" t="str">
            <v>101024</v>
          </cell>
          <cell r="D28" t="str">
            <v>식품 &gt; 생수/음료/커피 &gt; 음료 &gt; 건강/기능성음료 &gt; 에너지음료</v>
          </cell>
          <cell r="E28" t="str">
            <v>102802</v>
          </cell>
          <cell r="F28" t="str">
            <v>기본카테고리 &gt; 가공식품 &gt; 음료/파우더/시럽 &gt; 탄산음료/기타음료</v>
          </cell>
          <cell r="G28" t="str">
            <v>2024-03-25 13:06:17</v>
          </cell>
          <cell r="H28" t="str">
            <v/>
          </cell>
          <cell r="I28" t="str">
            <v>Y</v>
          </cell>
          <cell r="J28" t="str">
            <v>Y</v>
          </cell>
          <cell r="K28" t="str">
            <v>N</v>
          </cell>
          <cell r="L28" t="str">
            <v>할인율</v>
          </cell>
          <cell r="M28">
            <v>0</v>
          </cell>
          <cell r="N28" t="str">
            <v>Y</v>
          </cell>
          <cell r="O28" t="str">
            <v>해당없음</v>
          </cell>
          <cell r="P28" t="str">
            <v>해당없음</v>
          </cell>
          <cell r="Q28" t="str">
            <v>N</v>
          </cell>
          <cell r="R28">
            <v>875489</v>
          </cell>
        </row>
        <row r="29">
          <cell r="A29">
            <v>458519</v>
          </cell>
          <cell r="B29" t="str">
            <v>매일카페라떼 로어슈거 10개 + 카라멜마끼아토 10개 세트상품</v>
          </cell>
          <cell r="C29" t="str">
            <v>101060</v>
          </cell>
          <cell r="D29" t="str">
            <v>식품 &gt; 생수/음료/커피 &gt; 커피 &gt; 커피음료</v>
          </cell>
          <cell r="E29" t="str">
            <v>102801</v>
          </cell>
          <cell r="F29" t="str">
            <v>기본카테고리 &gt; 가공식품 &gt; 음료/파우더/시럽 &gt; 커피/원두</v>
          </cell>
          <cell r="G29" t="str">
            <v>2024-03-14 11:57:26</v>
          </cell>
          <cell r="H29" t="str">
            <v/>
          </cell>
          <cell r="I29" t="str">
            <v>Y</v>
          </cell>
          <cell r="J29" t="str">
            <v>Y</v>
          </cell>
          <cell r="K29" t="str">
            <v>N</v>
          </cell>
          <cell r="L29" t="str">
            <v>할인율</v>
          </cell>
          <cell r="M29">
            <v>0</v>
          </cell>
          <cell r="N29" t="str">
            <v>Y</v>
          </cell>
          <cell r="O29" t="str">
            <v>해당없음</v>
          </cell>
          <cell r="P29" t="str">
            <v/>
          </cell>
          <cell r="Q29" t="str">
            <v>N</v>
          </cell>
          <cell r="R29">
            <v>863423</v>
          </cell>
        </row>
        <row r="30">
          <cell r="A30">
            <v>458518</v>
          </cell>
          <cell r="B30" t="str">
            <v>매일카페라떼 마일드 10개 + 카라멜마끼아토 10개 세트상품</v>
          </cell>
          <cell r="C30" t="str">
            <v>101060</v>
          </cell>
          <cell r="D30" t="str">
            <v>식품 &gt; 생수/음료/커피 &gt; 커피 &gt; 커피음료</v>
          </cell>
          <cell r="E30" t="str">
            <v>102801</v>
          </cell>
          <cell r="F30" t="str">
            <v>기본카테고리 &gt; 가공식품 &gt; 음료/파우더/시럽 &gt; 커피/원두</v>
          </cell>
          <cell r="G30" t="str">
            <v>2024-03-14 11:57:26</v>
          </cell>
          <cell r="H30" t="str">
            <v/>
          </cell>
          <cell r="I30" t="str">
            <v>Y</v>
          </cell>
          <cell r="J30" t="str">
            <v>Y</v>
          </cell>
          <cell r="K30" t="str">
            <v>N</v>
          </cell>
          <cell r="L30" t="str">
            <v>할인율</v>
          </cell>
          <cell r="M30">
            <v>0</v>
          </cell>
          <cell r="N30" t="str">
            <v>Y</v>
          </cell>
          <cell r="O30" t="str">
            <v>해당없음</v>
          </cell>
          <cell r="P30" t="str">
            <v/>
          </cell>
          <cell r="Q30" t="str">
            <v>N</v>
          </cell>
          <cell r="R30">
            <v>863422</v>
          </cell>
        </row>
        <row r="31">
          <cell r="A31">
            <v>458517</v>
          </cell>
          <cell r="B31" t="str">
            <v>매일카페라떼 마일드 10개 + 로어슈거 10개 세트상품</v>
          </cell>
          <cell r="C31" t="str">
            <v>101060</v>
          </cell>
          <cell r="D31" t="str">
            <v>식품 &gt; 생수/음료/커피 &gt; 커피 &gt; 커피음료</v>
          </cell>
          <cell r="E31" t="str">
            <v>102801</v>
          </cell>
          <cell r="F31" t="str">
            <v>기본카테고리 &gt; 가공식품 &gt; 음료/파우더/시럽 &gt; 커피/원두</v>
          </cell>
          <cell r="G31" t="str">
            <v>2024-03-14 11:57:26</v>
          </cell>
          <cell r="H31" t="str">
            <v/>
          </cell>
          <cell r="I31" t="str">
            <v>Y</v>
          </cell>
          <cell r="J31" t="str">
            <v>Y</v>
          </cell>
          <cell r="K31" t="str">
            <v>N</v>
          </cell>
          <cell r="L31" t="str">
            <v>할인율</v>
          </cell>
          <cell r="M31">
            <v>0</v>
          </cell>
          <cell r="N31" t="str">
            <v>Y</v>
          </cell>
          <cell r="O31" t="str">
            <v>해당없음</v>
          </cell>
          <cell r="P31" t="str">
            <v/>
          </cell>
          <cell r="Q31" t="str">
            <v>N</v>
          </cell>
          <cell r="R31">
            <v>863421</v>
          </cell>
        </row>
        <row r="32">
          <cell r="A32">
            <v>458516</v>
          </cell>
          <cell r="B32" t="str">
            <v>환타 업소용 350ml 파인애플맛 24개 + 오렌지맛 24개</v>
          </cell>
          <cell r="C32" t="str">
            <v>101045</v>
          </cell>
          <cell r="D32" t="str">
            <v>식품 &gt; 생수/음료/커피 &gt; 음료 &gt; 탄산음료 &gt; 기타탄산음료</v>
          </cell>
          <cell r="E32" t="str">
            <v>102802</v>
          </cell>
          <cell r="F32" t="str">
            <v>기본카테고리 &gt; 가공식품 &gt; 음료/파우더/시럽 &gt; 탄산음료/기타음료</v>
          </cell>
          <cell r="G32" t="str">
            <v>2024-03-14 11:57:26</v>
          </cell>
          <cell r="H32" t="str">
            <v/>
          </cell>
          <cell r="I32" t="str">
            <v>Y</v>
          </cell>
          <cell r="J32" t="str">
            <v>Y</v>
          </cell>
          <cell r="K32" t="str">
            <v>N</v>
          </cell>
          <cell r="L32" t="str">
            <v>할인율</v>
          </cell>
          <cell r="M32">
            <v>0</v>
          </cell>
          <cell r="N32" t="str">
            <v>Y</v>
          </cell>
          <cell r="O32" t="str">
            <v>해당없음</v>
          </cell>
          <cell r="P32" t="str">
            <v/>
          </cell>
          <cell r="Q32" t="str">
            <v>N</v>
          </cell>
          <cell r="R32">
            <v>863420</v>
          </cell>
        </row>
        <row r="33">
          <cell r="A33">
            <v>458515</v>
          </cell>
          <cell r="B33" t="str">
            <v>몬스터에너지 355ml 제로슈가 24캔 + 울트라 24캔 세트상품</v>
          </cell>
          <cell r="C33" t="str">
            <v>101024</v>
          </cell>
          <cell r="D33" t="str">
            <v>식품 &gt; 생수/음료/커피 &gt; 음료 &gt; 건강/기능성음료 &gt; 에너지음료</v>
          </cell>
          <cell r="E33" t="str">
            <v>102802</v>
          </cell>
          <cell r="F33" t="str">
            <v>기본카테고리 &gt; 가공식품 &gt; 음료/파우더/시럽 &gt; 탄산음료/기타음료</v>
          </cell>
          <cell r="G33" t="str">
            <v>2024-03-14 11:57:26</v>
          </cell>
          <cell r="H33" t="str">
            <v/>
          </cell>
          <cell r="I33" t="str">
            <v>Y</v>
          </cell>
          <cell r="J33" t="str">
            <v>Y</v>
          </cell>
          <cell r="K33" t="str">
            <v>N</v>
          </cell>
          <cell r="L33" t="str">
            <v>할인율</v>
          </cell>
          <cell r="M33">
            <v>0</v>
          </cell>
          <cell r="N33" t="str">
            <v>Y</v>
          </cell>
          <cell r="O33" t="str">
            <v>해당없음</v>
          </cell>
          <cell r="P33" t="str">
            <v/>
          </cell>
          <cell r="Q33" t="str">
            <v>N</v>
          </cell>
          <cell r="R33">
            <v>863419</v>
          </cell>
        </row>
        <row r="34">
          <cell r="A34">
            <v>458514</v>
          </cell>
          <cell r="B34" t="str">
            <v>몬스터에너지 355ml 망고로코 24캔 + 울트라 24캔 세트상품</v>
          </cell>
          <cell r="C34" t="str">
            <v>101024</v>
          </cell>
          <cell r="D34" t="str">
            <v>식품 &gt; 생수/음료/커피 &gt; 음료 &gt; 건강/기능성음료 &gt; 에너지음료</v>
          </cell>
          <cell r="E34" t="str">
            <v>102802</v>
          </cell>
          <cell r="F34" t="str">
            <v>기본카테고리 &gt; 가공식품 &gt; 음료/파우더/시럽 &gt; 탄산음료/기타음료</v>
          </cell>
          <cell r="G34" t="str">
            <v>2024-03-14 11:57:26</v>
          </cell>
          <cell r="H34" t="str">
            <v/>
          </cell>
          <cell r="I34" t="str">
            <v>Y</v>
          </cell>
          <cell r="J34" t="str">
            <v>Y</v>
          </cell>
          <cell r="K34" t="str">
            <v>N</v>
          </cell>
          <cell r="L34" t="str">
            <v>할인율</v>
          </cell>
          <cell r="M34">
            <v>0</v>
          </cell>
          <cell r="N34" t="str">
            <v>Y</v>
          </cell>
          <cell r="O34" t="str">
            <v>해당없음</v>
          </cell>
          <cell r="P34" t="str">
            <v/>
          </cell>
          <cell r="Q34" t="str">
            <v>N</v>
          </cell>
          <cell r="R34">
            <v>863418</v>
          </cell>
        </row>
        <row r="35">
          <cell r="A35">
            <v>458513</v>
          </cell>
          <cell r="B35" t="str">
            <v>몬스터에너지 355ml 망고로코 24캔 + 제로슈가 24캔 세트상품</v>
          </cell>
          <cell r="C35" t="str">
            <v>101024</v>
          </cell>
          <cell r="D35" t="str">
            <v>식품 &gt; 생수/음료/커피 &gt; 음료 &gt; 건강/기능성음료 &gt; 에너지음료</v>
          </cell>
          <cell r="E35" t="str">
            <v>102802</v>
          </cell>
          <cell r="F35" t="str">
            <v>기본카테고리 &gt; 가공식품 &gt; 음료/파우더/시럽 &gt; 탄산음료/기타음료</v>
          </cell>
          <cell r="G35" t="str">
            <v>2024-03-14 11:57:26</v>
          </cell>
          <cell r="H35" t="str">
            <v/>
          </cell>
          <cell r="I35" t="str">
            <v>Y</v>
          </cell>
          <cell r="J35" t="str">
            <v>Y</v>
          </cell>
          <cell r="K35" t="str">
            <v>N</v>
          </cell>
          <cell r="L35" t="str">
            <v>할인율</v>
          </cell>
          <cell r="M35">
            <v>0</v>
          </cell>
          <cell r="N35" t="str">
            <v>Y</v>
          </cell>
          <cell r="O35" t="str">
            <v>해당없음</v>
          </cell>
          <cell r="P35" t="str">
            <v/>
          </cell>
          <cell r="Q35" t="str">
            <v>N</v>
          </cell>
          <cell r="R35">
            <v>863417</v>
          </cell>
        </row>
        <row r="36">
          <cell r="A36">
            <v>458512</v>
          </cell>
          <cell r="B36" t="str">
            <v>코카콜라 업소용 355ml 일반 24개 + 코카콜라 업소용 제로 24개 세트상품</v>
          </cell>
          <cell r="C36" t="str">
            <v>101044</v>
          </cell>
          <cell r="D36" t="str">
            <v>식품 &gt; 생수/음료/커피 &gt; 음료 &gt; 탄산음료 &gt; 콜라</v>
          </cell>
          <cell r="E36" t="str">
            <v>102802</v>
          </cell>
          <cell r="F36" t="str">
            <v>기본카테고리 &gt; 가공식품 &gt; 음료/파우더/시럽 &gt; 탄산음료/기타음료</v>
          </cell>
          <cell r="G36" t="str">
            <v>2024-03-14 11:57:26</v>
          </cell>
          <cell r="H36" t="str">
            <v/>
          </cell>
          <cell r="I36" t="str">
            <v>Y</v>
          </cell>
          <cell r="J36" t="str">
            <v>Y</v>
          </cell>
          <cell r="K36" t="str">
            <v>N</v>
          </cell>
          <cell r="L36" t="str">
            <v>할인율</v>
          </cell>
          <cell r="M36">
            <v>0</v>
          </cell>
          <cell r="N36" t="str">
            <v>Y</v>
          </cell>
          <cell r="O36" t="str">
            <v>해당없음</v>
          </cell>
          <cell r="P36" t="str">
            <v/>
          </cell>
          <cell r="Q36" t="str">
            <v>N</v>
          </cell>
          <cell r="R36">
            <v>863416</v>
          </cell>
        </row>
        <row r="37">
          <cell r="A37">
            <v>458504</v>
          </cell>
          <cell r="B37" t="str">
            <v>쿨피스 제로 소팩 복숭아 140ml 24개</v>
          </cell>
          <cell r="C37" t="str">
            <v>115210</v>
          </cell>
          <cell r="D37" t="str">
            <v>식품 &gt; 생수/음료/커피 &gt; 음료 &gt; 과일/야채음료</v>
          </cell>
          <cell r="E37" t="str">
            <v>102802</v>
          </cell>
          <cell r="F37" t="str">
            <v>기본카테고리 &gt; 가공식품 &gt; 음료/파우더/시럽 &gt; 탄산음료/기타음료</v>
          </cell>
          <cell r="G37" t="str">
            <v>2024-03-14 11:57:26</v>
          </cell>
          <cell r="H37" t="str">
            <v/>
          </cell>
          <cell r="I37" t="str">
            <v>Y</v>
          </cell>
          <cell r="J37" t="str">
            <v>Y</v>
          </cell>
          <cell r="K37" t="str">
            <v>N</v>
          </cell>
          <cell r="L37" t="str">
            <v>할인율</v>
          </cell>
          <cell r="M37">
            <v>0</v>
          </cell>
          <cell r="N37" t="str">
            <v>Y</v>
          </cell>
          <cell r="O37" t="str">
            <v>해당없음</v>
          </cell>
          <cell r="P37" t="str">
            <v/>
          </cell>
          <cell r="Q37" t="str">
            <v>N</v>
          </cell>
          <cell r="R37">
            <v>863408</v>
          </cell>
        </row>
        <row r="38">
          <cell r="A38">
            <v>458503</v>
          </cell>
          <cell r="B38" t="str">
            <v>코카콜라 제로 업소용 190ml 30개</v>
          </cell>
          <cell r="C38" t="str">
            <v>101044</v>
          </cell>
          <cell r="D38" t="str">
            <v>식품 &gt; 생수/음료/커피 &gt; 음료 &gt; 탄산음료 &gt; 콜라</v>
          </cell>
          <cell r="E38" t="str">
            <v>102802</v>
          </cell>
          <cell r="F38" t="str">
            <v>기본카테고리 &gt; 가공식품 &gt; 음료/파우더/시럽 &gt; 탄산음료/기타음료</v>
          </cell>
          <cell r="G38" t="str">
            <v>2024-03-14 11:57:26</v>
          </cell>
          <cell r="H38" t="str">
            <v/>
          </cell>
          <cell r="I38" t="str">
            <v>Y</v>
          </cell>
          <cell r="J38" t="str">
            <v>Y</v>
          </cell>
          <cell r="K38" t="str">
            <v>N</v>
          </cell>
          <cell r="L38" t="str">
            <v>할인율</v>
          </cell>
          <cell r="M38">
            <v>0</v>
          </cell>
          <cell r="N38" t="str">
            <v>Y</v>
          </cell>
          <cell r="O38" t="str">
            <v>해당없음</v>
          </cell>
          <cell r="P38" t="str">
            <v/>
          </cell>
          <cell r="Q38" t="str">
            <v>N</v>
          </cell>
          <cell r="R38">
            <v>863407</v>
          </cell>
        </row>
        <row r="39">
          <cell r="A39">
            <v>458502</v>
          </cell>
          <cell r="B39" t="str">
            <v>참맑은 유자 175ml 30개</v>
          </cell>
          <cell r="C39" t="str">
            <v>115210</v>
          </cell>
          <cell r="D39" t="str">
            <v>식품 &gt; 생수/음료/커피 &gt; 음료 &gt; 과일/야채음료</v>
          </cell>
          <cell r="E39" t="str">
            <v>102802</v>
          </cell>
          <cell r="F39" t="str">
            <v>기본카테고리 &gt; 가공식품 &gt; 음료/파우더/시럽 &gt; 탄산음료/기타음료</v>
          </cell>
          <cell r="G39" t="str">
            <v>2024-03-14 11:57:26</v>
          </cell>
          <cell r="H39" t="str">
            <v/>
          </cell>
          <cell r="I39" t="str">
            <v>Y</v>
          </cell>
          <cell r="J39" t="str">
            <v>Y</v>
          </cell>
          <cell r="K39" t="str">
            <v>N</v>
          </cell>
          <cell r="L39" t="str">
            <v>할인율</v>
          </cell>
          <cell r="M39">
            <v>0</v>
          </cell>
          <cell r="N39" t="str">
            <v>Y</v>
          </cell>
          <cell r="O39" t="str">
            <v>해당없음</v>
          </cell>
          <cell r="P39" t="str">
            <v/>
          </cell>
          <cell r="Q39" t="str">
            <v>N</v>
          </cell>
          <cell r="R39">
            <v>863406</v>
          </cell>
        </row>
        <row r="40">
          <cell r="A40">
            <v>458501</v>
          </cell>
          <cell r="B40" t="str">
            <v>참맑은 알로에 175ml 30개</v>
          </cell>
          <cell r="C40" t="str">
            <v>115210</v>
          </cell>
          <cell r="D40" t="str">
            <v>식품 &gt; 생수/음료/커피 &gt; 음료 &gt; 과일/야채음료</v>
          </cell>
          <cell r="E40" t="str">
            <v>102802</v>
          </cell>
          <cell r="F40" t="str">
            <v>기본카테고리 &gt; 가공식품 &gt; 음료/파우더/시럽 &gt; 탄산음료/기타음료</v>
          </cell>
          <cell r="G40" t="str">
            <v>2024-03-14 11:57:26</v>
          </cell>
          <cell r="H40" t="str">
            <v/>
          </cell>
          <cell r="I40" t="str">
            <v>Y</v>
          </cell>
          <cell r="J40" t="str">
            <v>Y</v>
          </cell>
          <cell r="K40" t="str">
            <v>N</v>
          </cell>
          <cell r="L40" t="str">
            <v>할인율</v>
          </cell>
          <cell r="M40">
            <v>0</v>
          </cell>
          <cell r="N40" t="str">
            <v>Y</v>
          </cell>
          <cell r="O40" t="str">
            <v>해당없음</v>
          </cell>
          <cell r="P40" t="str">
            <v/>
          </cell>
          <cell r="Q40" t="str">
            <v>N</v>
          </cell>
          <cell r="R40">
            <v>863405</v>
          </cell>
        </row>
        <row r="41">
          <cell r="A41">
            <v>458500</v>
          </cell>
          <cell r="B41" t="str">
            <v>데미소다 복숭아맛 250ml 30개</v>
          </cell>
          <cell r="C41" t="str">
            <v>115210</v>
          </cell>
          <cell r="D41" t="str">
            <v>식품 &gt; 생수/음료/커피 &gt; 음료 &gt; 과일/야채음료</v>
          </cell>
          <cell r="E41" t="str">
            <v>102802</v>
          </cell>
          <cell r="F41" t="str">
            <v>기본카테고리 &gt; 가공식품 &gt; 음료/파우더/시럽 &gt; 탄산음료/기타음료</v>
          </cell>
          <cell r="G41" t="str">
            <v>2024-03-14 11:57:26</v>
          </cell>
          <cell r="H41" t="str">
            <v/>
          </cell>
          <cell r="I41" t="str">
            <v>Y</v>
          </cell>
          <cell r="J41" t="str">
            <v>Y</v>
          </cell>
          <cell r="K41" t="str">
            <v>N</v>
          </cell>
          <cell r="L41" t="str">
            <v>할인율</v>
          </cell>
          <cell r="M41">
            <v>0</v>
          </cell>
          <cell r="N41" t="str">
            <v>Y</v>
          </cell>
          <cell r="O41" t="str">
            <v>해당없음</v>
          </cell>
          <cell r="P41" t="str">
            <v/>
          </cell>
          <cell r="Q41" t="str">
            <v>N</v>
          </cell>
          <cell r="R41">
            <v>863404</v>
          </cell>
        </row>
        <row r="42">
          <cell r="A42">
            <v>458499</v>
          </cell>
          <cell r="B42" t="str">
            <v>코코팜 포도 238ml 24개</v>
          </cell>
          <cell r="C42" t="str">
            <v>101045</v>
          </cell>
          <cell r="D42" t="str">
            <v>식품 &gt; 생수/음료/커피 &gt; 음료 &gt; 탄산음료 &gt; 기타탄산음료</v>
          </cell>
          <cell r="E42" t="str">
            <v>102802</v>
          </cell>
          <cell r="F42" t="str">
            <v>기본카테고리 &gt; 가공식품 &gt; 음료/파우더/시럽 &gt; 탄산음료/기타음료</v>
          </cell>
          <cell r="G42" t="str">
            <v>2024-03-14 11:57:26</v>
          </cell>
          <cell r="H42" t="str">
            <v/>
          </cell>
          <cell r="I42" t="str">
            <v>Y</v>
          </cell>
          <cell r="J42" t="str">
            <v>Y</v>
          </cell>
          <cell r="K42" t="str">
            <v>N</v>
          </cell>
          <cell r="L42" t="str">
            <v>할인율</v>
          </cell>
          <cell r="M42">
            <v>0</v>
          </cell>
          <cell r="N42" t="str">
            <v>Y</v>
          </cell>
          <cell r="O42" t="str">
            <v>해당없음</v>
          </cell>
          <cell r="P42" t="str">
            <v/>
          </cell>
          <cell r="Q42" t="str">
            <v>N</v>
          </cell>
          <cell r="R42">
            <v>863403</v>
          </cell>
        </row>
        <row r="43">
          <cell r="A43">
            <v>458495</v>
          </cell>
          <cell r="B43" t="str">
            <v>팔도 뽀로로 바나나맛 235ml 24개</v>
          </cell>
          <cell r="C43" t="str">
            <v>108140</v>
          </cell>
          <cell r="D43" t="str">
            <v>출산/유아동 &gt; 분유/유아식품 &gt; 영유아식품 &gt; 유아간식/음료 &gt; 과즙/음료 &gt; 기타유아음료</v>
          </cell>
          <cell r="E43" t="str">
            <v>102802</v>
          </cell>
          <cell r="F43" t="str">
            <v>기본카테고리 &gt; 가공식품 &gt; 음료/파우더/시럽 &gt; 탄산음료/기타음료</v>
          </cell>
          <cell r="G43" t="str">
            <v>2024-03-14 11:57:26</v>
          </cell>
          <cell r="H43" t="str">
            <v/>
          </cell>
          <cell r="I43" t="str">
            <v>Y</v>
          </cell>
          <cell r="J43" t="str">
            <v>Y</v>
          </cell>
          <cell r="K43" t="str">
            <v>N</v>
          </cell>
          <cell r="L43" t="str">
            <v>할인율</v>
          </cell>
          <cell r="M43">
            <v>0</v>
          </cell>
          <cell r="N43" t="str">
            <v>Y</v>
          </cell>
          <cell r="O43" t="str">
            <v>해당없음</v>
          </cell>
          <cell r="P43" t="str">
            <v/>
          </cell>
          <cell r="Q43" t="str">
            <v>N</v>
          </cell>
          <cell r="R43">
            <v>863399</v>
          </cell>
        </row>
        <row r="44">
          <cell r="A44">
            <v>458494</v>
          </cell>
          <cell r="B44" t="str">
            <v>조지아 맥스 240ml 30개</v>
          </cell>
          <cell r="C44" t="str">
            <v>101060</v>
          </cell>
          <cell r="D44" t="str">
            <v>식품 &gt; 생수/음료/커피 &gt; 커피 &gt; 커피음료</v>
          </cell>
          <cell r="E44" t="str">
            <v>102801</v>
          </cell>
          <cell r="F44" t="str">
            <v>기본카테고리 &gt; 가공식품 &gt; 음료/파우더/시럽 &gt; 커피/원두</v>
          </cell>
          <cell r="G44" t="str">
            <v>2024-03-14 11:57:26</v>
          </cell>
          <cell r="H44" t="str">
            <v/>
          </cell>
          <cell r="I44" t="str">
            <v>Y</v>
          </cell>
          <cell r="J44" t="str">
            <v>Y</v>
          </cell>
          <cell r="K44" t="str">
            <v>N</v>
          </cell>
          <cell r="L44" t="str">
            <v>할인율</v>
          </cell>
          <cell r="M44">
            <v>0</v>
          </cell>
          <cell r="N44" t="str">
            <v>Y</v>
          </cell>
          <cell r="O44" t="str">
            <v>해당없음</v>
          </cell>
          <cell r="P44" t="str">
            <v/>
          </cell>
          <cell r="Q44" t="str">
            <v>N</v>
          </cell>
          <cell r="R44">
            <v>863398</v>
          </cell>
        </row>
        <row r="45">
          <cell r="A45">
            <v>458493</v>
          </cell>
          <cell r="B45" t="str">
            <v>광동 생강쌍화 120ml 100개</v>
          </cell>
          <cell r="C45" t="str">
            <v>101027</v>
          </cell>
          <cell r="D45" t="str">
            <v>식품 &gt; 생수/음료/커피 &gt; 음료 &gt; 건강/기능성음료 &gt; 한방음료</v>
          </cell>
          <cell r="E45" t="str">
            <v>102802</v>
          </cell>
          <cell r="F45" t="str">
            <v>기본카테고리 &gt; 가공식품 &gt; 음료/파우더/시럽 &gt; 탄산음료/기타음료</v>
          </cell>
          <cell r="G45" t="str">
            <v>2024-03-14 11:57:26</v>
          </cell>
          <cell r="H45" t="str">
            <v/>
          </cell>
          <cell r="I45" t="str">
            <v>Y</v>
          </cell>
          <cell r="J45" t="str">
            <v>Y</v>
          </cell>
          <cell r="K45" t="str">
            <v>N</v>
          </cell>
          <cell r="L45" t="str">
            <v>할인율</v>
          </cell>
          <cell r="M45">
            <v>0</v>
          </cell>
          <cell r="N45" t="str">
            <v>Y</v>
          </cell>
          <cell r="O45" t="str">
            <v>해당없음</v>
          </cell>
          <cell r="P45" t="str">
            <v/>
          </cell>
          <cell r="Q45" t="str">
            <v>N</v>
          </cell>
          <cell r="R45">
            <v>863397</v>
          </cell>
        </row>
        <row r="46">
          <cell r="A46">
            <v>458492</v>
          </cell>
          <cell r="B46" t="str">
            <v>유동 고등어 통조림 400g 24개</v>
          </cell>
          <cell r="C46" t="str">
            <v>100565</v>
          </cell>
          <cell r="D46" t="str">
            <v>식품 &gt; 상온가공식품 &gt; 캔/통조림 &gt; 고등어통조림</v>
          </cell>
          <cell r="E46" t="str">
            <v>102848</v>
          </cell>
          <cell r="F46" t="str">
            <v>기본카테고리 &gt; 가공식품 &gt; 캔/통조림 &gt; 고등어/꽁치/골뱅이/번데기</v>
          </cell>
          <cell r="G46" t="str">
            <v>2024-03-14 11:57:26</v>
          </cell>
          <cell r="H46" t="str">
            <v/>
          </cell>
          <cell r="I46" t="str">
            <v>Y</v>
          </cell>
          <cell r="J46" t="str">
            <v>Y</v>
          </cell>
          <cell r="K46" t="str">
            <v>N</v>
          </cell>
          <cell r="L46" t="str">
            <v>할인율</v>
          </cell>
          <cell r="M46">
            <v>0</v>
          </cell>
          <cell r="N46" t="str">
            <v>Y</v>
          </cell>
          <cell r="O46" t="str">
            <v>해당없음</v>
          </cell>
          <cell r="P46" t="str">
            <v/>
          </cell>
          <cell r="Q46" t="str">
            <v>N</v>
          </cell>
          <cell r="R46">
            <v>863396</v>
          </cell>
        </row>
        <row r="47">
          <cell r="A47">
            <v>458490</v>
          </cell>
          <cell r="B47" t="str">
            <v>영진구론산 탄산오리지날 150ml 30개</v>
          </cell>
          <cell r="C47" t="str">
            <v>101024</v>
          </cell>
          <cell r="D47" t="str">
            <v>식품 &gt; 생수/음료/커피 &gt; 음료 &gt; 건강/기능성음료 &gt; 에너지음료</v>
          </cell>
          <cell r="E47" t="str">
            <v>102802</v>
          </cell>
          <cell r="F47" t="str">
            <v>기본카테고리 &gt; 가공식품 &gt; 음료/파우더/시럽 &gt; 탄산음료/기타음료</v>
          </cell>
          <cell r="G47" t="str">
            <v>2024-03-14 11:57:26</v>
          </cell>
          <cell r="H47" t="str">
            <v/>
          </cell>
          <cell r="I47" t="str">
            <v>Y</v>
          </cell>
          <cell r="J47" t="str">
            <v>Y</v>
          </cell>
          <cell r="K47" t="str">
            <v>N</v>
          </cell>
          <cell r="L47" t="str">
            <v>할인율</v>
          </cell>
          <cell r="M47">
            <v>0</v>
          </cell>
          <cell r="N47" t="str">
            <v>Y</v>
          </cell>
          <cell r="O47" t="str">
            <v>해당없음</v>
          </cell>
          <cell r="P47" t="str">
            <v/>
          </cell>
          <cell r="Q47" t="str">
            <v>N</v>
          </cell>
          <cell r="R47">
            <v>863394</v>
          </cell>
        </row>
        <row r="48">
          <cell r="A48">
            <v>402611</v>
          </cell>
          <cell r="B48" t="str">
            <v>CJ 햇반 200g 30개 (10입*3)</v>
          </cell>
          <cell r="C48" t="str">
            <v>100545</v>
          </cell>
          <cell r="D48" t="str">
            <v>식품 &gt; 상온가공식품 &gt; 즉석간편조리 &gt; 즉석밥/누룽지 &gt; 즉석백미밥</v>
          </cell>
          <cell r="E48" t="str">
            <v>102861</v>
          </cell>
          <cell r="F48" t="str">
            <v>기본카테고리 &gt; 가공식품 &gt; 밥/면/가공식품 &gt; 볶음밥/즉석밥/떡류</v>
          </cell>
          <cell r="G48" t="str">
            <v>2023-11-15 11:58:18</v>
          </cell>
          <cell r="H48" t="str">
            <v/>
          </cell>
          <cell r="I48" t="str">
            <v>Y</v>
          </cell>
          <cell r="J48" t="str">
            <v>Y</v>
          </cell>
          <cell r="K48" t="str">
            <v>N</v>
          </cell>
          <cell r="L48" t="str">
            <v>할인율</v>
          </cell>
          <cell r="M48">
            <v>0</v>
          </cell>
          <cell r="N48" t="str">
            <v>Y</v>
          </cell>
          <cell r="O48" t="str">
            <v>해당없음</v>
          </cell>
          <cell r="P48" t="str">
            <v>해당없음</v>
          </cell>
          <cell r="Q48" t="str">
            <v>N</v>
          </cell>
          <cell r="R48">
            <v>749553</v>
          </cell>
        </row>
        <row r="49">
          <cell r="A49">
            <v>347048</v>
          </cell>
          <cell r="B49" t="str">
            <v>웅진 자연은 포도주스 1.5L 12개</v>
          </cell>
          <cell r="C49" t="str">
            <v>115210</v>
          </cell>
          <cell r="D49" t="str">
            <v>식품 &gt; 생수/음료/커피 &gt; 음료 &gt; 과일/야채음료</v>
          </cell>
          <cell r="E49" t="str">
            <v>102802</v>
          </cell>
          <cell r="F49" t="str">
            <v>기본카테고리 &gt; 가공식품 &gt; 음료/파우더/시럽 &gt; 탄산음료/기타음료</v>
          </cell>
          <cell r="G49" t="str">
            <v>2023-10-27 15:37:29</v>
          </cell>
          <cell r="H49" t="str">
            <v/>
          </cell>
          <cell r="I49" t="str">
            <v>Y</v>
          </cell>
          <cell r="J49" t="str">
            <v>Y</v>
          </cell>
          <cell r="K49" t="str">
            <v>N</v>
          </cell>
          <cell r="L49" t="str">
            <v>할인율</v>
          </cell>
          <cell r="M49">
            <v>0</v>
          </cell>
          <cell r="N49" t="str">
            <v>Y</v>
          </cell>
          <cell r="O49" t="str">
            <v>해당없음</v>
          </cell>
          <cell r="P49" t="str">
            <v/>
          </cell>
          <cell r="Q49" t="str">
            <v>N</v>
          </cell>
          <cell r="R49">
            <v>688148</v>
          </cell>
        </row>
        <row r="50">
          <cell r="A50">
            <v>347047</v>
          </cell>
          <cell r="B50" t="str">
            <v>환타 파인애플 500ml 24개</v>
          </cell>
          <cell r="C50" t="str">
            <v>101045</v>
          </cell>
          <cell r="D50" t="str">
            <v>식품 &gt; 생수/음료/커피 &gt; 음료 &gt; 탄산음료 &gt; 기타탄산음료</v>
          </cell>
          <cell r="E50" t="str">
            <v>102802</v>
          </cell>
          <cell r="F50" t="str">
            <v>기본카테고리 &gt; 가공식품 &gt; 음료/파우더/시럽 &gt; 탄산음료/기타음료</v>
          </cell>
          <cell r="G50" t="str">
            <v>2023-10-27 15:37:29</v>
          </cell>
          <cell r="H50" t="str">
            <v/>
          </cell>
          <cell r="I50" t="str">
            <v>Y</v>
          </cell>
          <cell r="J50" t="str">
            <v>Y</v>
          </cell>
          <cell r="K50" t="str">
            <v>N</v>
          </cell>
          <cell r="L50" t="str">
            <v>할인율</v>
          </cell>
          <cell r="M50">
            <v>0</v>
          </cell>
          <cell r="N50" t="str">
            <v>Y</v>
          </cell>
          <cell r="O50" t="str">
            <v>해당없음</v>
          </cell>
          <cell r="P50" t="str">
            <v/>
          </cell>
          <cell r="Q50" t="str">
            <v>N</v>
          </cell>
          <cell r="R50">
            <v>688147</v>
          </cell>
        </row>
        <row r="51">
          <cell r="A51">
            <v>347045</v>
          </cell>
          <cell r="B51" t="str">
            <v>코코팜 망고 코코넛 340ml 24개</v>
          </cell>
          <cell r="C51" t="str">
            <v>101045</v>
          </cell>
          <cell r="D51" t="str">
            <v>식품 &gt; 생수/음료/커피 &gt; 음료 &gt; 탄산음료 &gt; 기타탄산음료</v>
          </cell>
          <cell r="E51" t="str">
            <v>102802</v>
          </cell>
          <cell r="F51" t="str">
            <v>기본카테고리 &gt; 가공식품 &gt; 음료/파우더/시럽 &gt; 탄산음료/기타음료</v>
          </cell>
          <cell r="G51" t="str">
            <v>2023-10-27 15:37:29</v>
          </cell>
          <cell r="H51" t="str">
            <v/>
          </cell>
          <cell r="I51" t="str">
            <v>Y</v>
          </cell>
          <cell r="J51" t="str">
            <v>Y</v>
          </cell>
          <cell r="K51" t="str">
            <v>N</v>
          </cell>
          <cell r="L51" t="str">
            <v>할인율</v>
          </cell>
          <cell r="M51">
            <v>0</v>
          </cell>
          <cell r="N51" t="str">
            <v>Y</v>
          </cell>
          <cell r="O51" t="str">
            <v>해당없음</v>
          </cell>
          <cell r="P51" t="str">
            <v/>
          </cell>
          <cell r="Q51" t="str">
            <v>N</v>
          </cell>
          <cell r="R51">
            <v>688145</v>
          </cell>
        </row>
        <row r="52">
          <cell r="A52">
            <v>347040</v>
          </cell>
          <cell r="B52" t="str">
            <v>칠성사이다 제로 355ml 24개</v>
          </cell>
          <cell r="C52" t="str">
            <v>101045</v>
          </cell>
          <cell r="D52" t="str">
            <v>식품 &gt; 생수/음료/커피 &gt; 음료 &gt; 탄산음료 &gt; 기타탄산음료</v>
          </cell>
          <cell r="E52" t="str">
            <v>102802</v>
          </cell>
          <cell r="F52" t="str">
            <v>기본카테고리 &gt; 가공식품 &gt; 음료/파우더/시럽 &gt; 탄산음료/기타음료</v>
          </cell>
          <cell r="G52" t="str">
            <v>2023-10-27 15:37:29</v>
          </cell>
          <cell r="H52" t="str">
            <v/>
          </cell>
          <cell r="I52" t="str">
            <v>Y</v>
          </cell>
          <cell r="J52" t="str">
            <v>Y</v>
          </cell>
          <cell r="K52" t="str">
            <v>N</v>
          </cell>
          <cell r="L52" t="str">
            <v>할인율</v>
          </cell>
          <cell r="M52">
            <v>0</v>
          </cell>
          <cell r="N52" t="str">
            <v>Y</v>
          </cell>
          <cell r="O52" t="str">
            <v>해당없음</v>
          </cell>
          <cell r="P52" t="str">
            <v/>
          </cell>
          <cell r="Q52" t="str">
            <v>N</v>
          </cell>
          <cell r="R52">
            <v>688140</v>
          </cell>
        </row>
        <row r="53">
          <cell r="A53">
            <v>347039</v>
          </cell>
          <cell r="B53" t="str">
            <v>스프라이트 제로 355ml 24개</v>
          </cell>
          <cell r="C53" t="str">
            <v>101045</v>
          </cell>
          <cell r="D53" t="str">
            <v>식품 &gt; 생수/음료/커피 &gt; 음료 &gt; 탄산음료 &gt; 기타탄산음료</v>
          </cell>
          <cell r="E53" t="str">
            <v>102802</v>
          </cell>
          <cell r="F53" t="str">
            <v>기본카테고리 &gt; 가공식품 &gt; 음료/파우더/시럽 &gt; 탄산음료/기타음료</v>
          </cell>
          <cell r="G53" t="str">
            <v>2023-10-27 15:37:29</v>
          </cell>
          <cell r="H53" t="str">
            <v/>
          </cell>
          <cell r="I53" t="str">
            <v>Y</v>
          </cell>
          <cell r="J53" t="str">
            <v>Y</v>
          </cell>
          <cell r="K53" t="str">
            <v>N</v>
          </cell>
          <cell r="L53" t="str">
            <v>할인율</v>
          </cell>
          <cell r="M53">
            <v>0</v>
          </cell>
          <cell r="N53" t="str">
            <v>Y</v>
          </cell>
          <cell r="O53" t="str">
            <v>해당없음</v>
          </cell>
          <cell r="P53" t="str">
            <v/>
          </cell>
          <cell r="Q53" t="str">
            <v>N</v>
          </cell>
          <cell r="R53">
            <v>688139</v>
          </cell>
        </row>
        <row r="54">
          <cell r="A54">
            <v>347038</v>
          </cell>
          <cell r="B54" t="str">
            <v>포도봉봉 238ml 24개</v>
          </cell>
          <cell r="C54" t="str">
            <v>115210</v>
          </cell>
          <cell r="D54" t="str">
            <v>식품 &gt; 생수/음료/커피 &gt; 음료 &gt; 과일/야채음료</v>
          </cell>
          <cell r="E54" t="str">
            <v>102802</v>
          </cell>
          <cell r="F54" t="str">
            <v>기본카테고리 &gt; 가공식품 &gt; 음료/파우더/시럽 &gt; 탄산음료/기타음료</v>
          </cell>
          <cell r="G54" t="str">
            <v>2023-10-27 15:37:29</v>
          </cell>
          <cell r="H54" t="str">
            <v/>
          </cell>
          <cell r="I54" t="str">
            <v>Y</v>
          </cell>
          <cell r="J54" t="str">
            <v>Y</v>
          </cell>
          <cell r="K54" t="str">
            <v>N</v>
          </cell>
          <cell r="L54" t="str">
            <v>할인율</v>
          </cell>
          <cell r="M54">
            <v>0</v>
          </cell>
          <cell r="N54" t="str">
            <v>Y</v>
          </cell>
          <cell r="O54" t="str">
            <v>해당없음</v>
          </cell>
          <cell r="P54" t="str">
            <v/>
          </cell>
          <cell r="Q54" t="str">
            <v>N</v>
          </cell>
          <cell r="R54">
            <v>688138</v>
          </cell>
        </row>
        <row r="55">
          <cell r="A55">
            <v>347036</v>
          </cell>
          <cell r="B55" t="str">
            <v>웅진 헛개차 180ml 30개</v>
          </cell>
          <cell r="C55" t="str">
            <v>101038</v>
          </cell>
          <cell r="D55" t="str">
            <v>식품 &gt; 생수/음료/커피 &gt; 음료 &gt; 전통/차음료 &gt; 헛개수차음료</v>
          </cell>
          <cell r="E55" t="str">
            <v>102802</v>
          </cell>
          <cell r="F55" t="str">
            <v>기본카테고리 &gt; 가공식품 &gt; 음료/파우더/시럽 &gt; 탄산음료/기타음료</v>
          </cell>
          <cell r="G55" t="str">
            <v>2023-10-27 15:37:29</v>
          </cell>
          <cell r="H55" t="str">
            <v/>
          </cell>
          <cell r="I55" t="str">
            <v>Y</v>
          </cell>
          <cell r="J55" t="str">
            <v>Y</v>
          </cell>
          <cell r="K55" t="str">
            <v>N</v>
          </cell>
          <cell r="L55" t="str">
            <v>할인율</v>
          </cell>
          <cell r="M55">
            <v>0</v>
          </cell>
          <cell r="N55" t="str">
            <v>Y</v>
          </cell>
          <cell r="O55" t="str">
            <v>해당없음</v>
          </cell>
          <cell r="P55" t="str">
            <v/>
          </cell>
          <cell r="Q55" t="str">
            <v>N</v>
          </cell>
          <cell r="R55">
            <v>688136</v>
          </cell>
        </row>
        <row r="56">
          <cell r="A56">
            <v>347031</v>
          </cell>
          <cell r="B56" t="str">
            <v>웅진 달달하게 건강을 채우는 꿀물 180ml 30캔</v>
          </cell>
          <cell r="C56" t="str">
            <v>101020</v>
          </cell>
          <cell r="D56" t="str">
            <v>식품 &gt; 생수/음료/커피 &gt; 음료 &gt; 건강/기능성음료 &gt; 꿀물</v>
          </cell>
          <cell r="E56" t="str">
            <v>102802</v>
          </cell>
          <cell r="F56" t="str">
            <v>기본카테고리 &gt; 가공식품 &gt; 음료/파우더/시럽 &gt; 탄산음료/기타음료</v>
          </cell>
          <cell r="G56" t="str">
            <v>2023-10-27 15:37:29</v>
          </cell>
          <cell r="H56" t="str">
            <v/>
          </cell>
          <cell r="I56" t="str">
            <v>Y</v>
          </cell>
          <cell r="J56" t="str">
            <v>Y</v>
          </cell>
          <cell r="K56" t="str">
            <v>N</v>
          </cell>
          <cell r="L56" t="str">
            <v>할인율</v>
          </cell>
          <cell r="M56">
            <v>0</v>
          </cell>
          <cell r="N56" t="str">
            <v>Y</v>
          </cell>
          <cell r="O56" t="str">
            <v>해당없음</v>
          </cell>
          <cell r="P56" t="str">
            <v/>
          </cell>
          <cell r="Q56" t="str">
            <v>N</v>
          </cell>
          <cell r="R56">
            <v>688131</v>
          </cell>
        </row>
        <row r="57">
          <cell r="A57">
            <v>334011</v>
          </cell>
          <cell r="B57" t="str">
            <v>[첫구매특가] 펭귄 꽁치(한마리) 400g 24개</v>
          </cell>
          <cell r="C57" t="str">
            <v>100566</v>
          </cell>
          <cell r="D57" t="str">
            <v>식품 &gt; 상온가공식품 &gt; 캔/통조림 &gt; 꽁치통조림</v>
          </cell>
          <cell r="E57" t="str">
            <v>102848</v>
          </cell>
          <cell r="F57" t="str">
            <v>기본카테고리 &gt; 가공식품 &gt; 캔/통조림 &gt; 고등어/꽁치/골뱅이/번데기</v>
          </cell>
          <cell r="G57" t="str">
            <v>2023-10-01 10:00:00</v>
          </cell>
          <cell r="H57" t="str">
            <v>2023-10-31 23:59:00</v>
          </cell>
          <cell r="I57" t="str">
            <v>Y</v>
          </cell>
          <cell r="J57" t="str">
            <v>Y</v>
          </cell>
          <cell r="K57" t="str">
            <v>N</v>
          </cell>
          <cell r="L57" t="str">
            <v>할인율</v>
          </cell>
          <cell r="M57">
            <v>1</v>
          </cell>
          <cell r="N57" t="str">
            <v>Y</v>
          </cell>
          <cell r="O57" t="str">
            <v>해당없음</v>
          </cell>
          <cell r="P57" t="str">
            <v>해당없음</v>
          </cell>
          <cell r="Q57" t="str">
            <v>N</v>
          </cell>
          <cell r="R57">
            <v>665174</v>
          </cell>
        </row>
        <row r="58">
          <cell r="A58">
            <v>317639</v>
          </cell>
          <cell r="B58" t="str">
            <v>백설 콩식용유 1.8L 10개</v>
          </cell>
          <cell r="C58" t="str">
            <v>100944</v>
          </cell>
          <cell r="D58" t="str">
            <v>식품 &gt; 양념/소스/오일 &gt; 식용유/오일/참기름 &gt; 대두유(콩기름)</v>
          </cell>
          <cell r="E58" t="str">
            <v>111981</v>
          </cell>
          <cell r="F58" t="str">
            <v>기본카테고리 &gt; 가공식품 &gt; 식용유/조미료/장류 &gt; 식용유</v>
          </cell>
          <cell r="G58" t="str">
            <v>2023-08-18 13:27:21</v>
          </cell>
          <cell r="H58" t="str">
            <v/>
          </cell>
          <cell r="I58" t="str">
            <v>Y</v>
          </cell>
          <cell r="J58" t="str">
            <v>Y</v>
          </cell>
          <cell r="K58" t="str">
            <v>N</v>
          </cell>
          <cell r="L58" t="str">
            <v>할인율</v>
          </cell>
          <cell r="M58">
            <v>0</v>
          </cell>
          <cell r="N58" t="str">
            <v>Y</v>
          </cell>
          <cell r="O58" t="str">
            <v>해당없음</v>
          </cell>
          <cell r="P58" t="str">
            <v/>
          </cell>
          <cell r="Q58" t="str">
            <v>N</v>
          </cell>
          <cell r="R58">
            <v>625343</v>
          </cell>
        </row>
        <row r="59">
          <cell r="A59">
            <v>317638</v>
          </cell>
          <cell r="B59" t="str">
            <v>해표 식용유 1.8L 12개</v>
          </cell>
          <cell r="C59" t="str">
            <v>100944</v>
          </cell>
          <cell r="D59" t="str">
            <v>식품 &gt; 양념/소스/오일 &gt; 식용유/오일/참기름 &gt; 대두유(콩기름)</v>
          </cell>
          <cell r="E59" t="str">
            <v>111981</v>
          </cell>
          <cell r="F59" t="str">
            <v>기본카테고리 &gt; 가공식품 &gt; 식용유/조미료/장류 &gt; 식용유</v>
          </cell>
          <cell r="G59" t="str">
            <v>2023-08-18 13:27:21</v>
          </cell>
          <cell r="H59" t="str">
            <v/>
          </cell>
          <cell r="I59" t="str">
            <v>Y</v>
          </cell>
          <cell r="J59" t="str">
            <v>Y</v>
          </cell>
          <cell r="K59" t="str">
            <v>N</v>
          </cell>
          <cell r="L59" t="str">
            <v>할인율</v>
          </cell>
          <cell r="M59">
            <v>0</v>
          </cell>
          <cell r="N59" t="str">
            <v>Y</v>
          </cell>
          <cell r="O59" t="str">
            <v>해당없음</v>
          </cell>
          <cell r="P59" t="str">
            <v/>
          </cell>
          <cell r="Q59" t="str">
            <v>N</v>
          </cell>
          <cell r="R59">
            <v>625342</v>
          </cell>
        </row>
        <row r="60">
          <cell r="A60">
            <v>317636</v>
          </cell>
          <cell r="B60" t="str">
            <v>팔도 비빔면 컵라면 16입</v>
          </cell>
          <cell r="C60" t="str">
            <v>100487</v>
          </cell>
          <cell r="D60" t="str">
            <v>식품 &gt; 상온가공식품 &gt; 면류/라면류 &gt; 라면 &gt; 컵라면 &gt; 볶음/비빔컵라면</v>
          </cell>
          <cell r="E60" t="str">
            <v>102863</v>
          </cell>
          <cell r="F60" t="str">
            <v>기본카테고리 &gt; 가공식품 &gt; 밥/면/가공식품 &gt; 당면/국수/파스타/냉면</v>
          </cell>
          <cell r="G60" t="str">
            <v>2023-08-18 13:27:21</v>
          </cell>
          <cell r="H60" t="str">
            <v/>
          </cell>
          <cell r="I60" t="str">
            <v>Y</v>
          </cell>
          <cell r="J60" t="str">
            <v>Y</v>
          </cell>
          <cell r="K60" t="str">
            <v>N</v>
          </cell>
          <cell r="L60" t="str">
            <v>할인율</v>
          </cell>
          <cell r="M60">
            <v>0</v>
          </cell>
          <cell r="N60" t="str">
            <v>Y</v>
          </cell>
          <cell r="O60" t="str">
            <v>해당없음</v>
          </cell>
          <cell r="P60" t="str">
            <v/>
          </cell>
          <cell r="Q60" t="str">
            <v>N</v>
          </cell>
          <cell r="R60">
            <v>625340</v>
          </cell>
        </row>
        <row r="61">
          <cell r="A61">
            <v>317635</v>
          </cell>
          <cell r="B61" t="str">
            <v>팔도 김치왕뚜껑 컵라면 18입</v>
          </cell>
          <cell r="C61" t="str">
            <v>100486</v>
          </cell>
          <cell r="D61" t="str">
            <v>식품 &gt; 상온가공식품 &gt; 면류/라면류 &gt; 라면 &gt; 컵라면 &gt; 일반컵라면</v>
          </cell>
          <cell r="E61" t="str">
            <v>102863</v>
          </cell>
          <cell r="F61" t="str">
            <v>기본카테고리 &gt; 가공식품 &gt; 밥/면/가공식품 &gt; 당면/국수/파스타/냉면</v>
          </cell>
          <cell r="G61" t="str">
            <v>2023-08-18 13:27:21</v>
          </cell>
          <cell r="H61" t="str">
            <v/>
          </cell>
          <cell r="I61" t="str">
            <v>Y</v>
          </cell>
          <cell r="J61" t="str">
            <v>Y</v>
          </cell>
          <cell r="K61" t="str">
            <v>N</v>
          </cell>
          <cell r="L61" t="str">
            <v>할인율</v>
          </cell>
          <cell r="M61">
            <v>0</v>
          </cell>
          <cell r="N61" t="str">
            <v>Y</v>
          </cell>
          <cell r="O61" t="str">
            <v>해당없음</v>
          </cell>
          <cell r="P61" t="str">
            <v/>
          </cell>
          <cell r="Q61" t="str">
            <v>N</v>
          </cell>
          <cell r="R61">
            <v>625336</v>
          </cell>
        </row>
        <row r="62">
          <cell r="A62">
            <v>317631</v>
          </cell>
          <cell r="B62" t="str">
            <v>동원 고추참치 250g 36개</v>
          </cell>
          <cell r="C62" t="str">
            <v>100597</v>
          </cell>
          <cell r="D62" t="str">
            <v>식품 &gt; 상온가공식품 &gt; 캔/통조림 &gt; 참치통조림</v>
          </cell>
          <cell r="E62" t="str">
            <v>102850</v>
          </cell>
          <cell r="F62" t="str">
            <v>기본카테고리 &gt; 가공식품 &gt; 캔/통조림 &gt; 참치/닭가슴살</v>
          </cell>
          <cell r="G62" t="str">
            <v>2023-08-18 13:27:21</v>
          </cell>
          <cell r="H62" t="str">
            <v/>
          </cell>
          <cell r="I62" t="str">
            <v>Y</v>
          </cell>
          <cell r="J62" t="str">
            <v>Y</v>
          </cell>
          <cell r="K62" t="str">
            <v>N</v>
          </cell>
          <cell r="L62" t="str">
            <v>할인율</v>
          </cell>
          <cell r="M62">
            <v>0</v>
          </cell>
          <cell r="N62" t="str">
            <v>Y</v>
          </cell>
          <cell r="O62" t="str">
            <v>해당없음</v>
          </cell>
          <cell r="P62" t="str">
            <v/>
          </cell>
          <cell r="Q62" t="str">
            <v>N</v>
          </cell>
          <cell r="R62">
            <v>625332</v>
          </cell>
        </row>
        <row r="63">
          <cell r="A63">
            <v>317630</v>
          </cell>
          <cell r="B63" t="str">
            <v>동원 김치찌개참치 200g 36개</v>
          </cell>
          <cell r="C63" t="str">
            <v>100597</v>
          </cell>
          <cell r="D63" t="str">
            <v>식품 &gt; 상온가공식품 &gt; 캔/통조림 &gt; 참치통조림</v>
          </cell>
          <cell r="E63" t="str">
            <v>102850</v>
          </cell>
          <cell r="F63" t="str">
            <v>기본카테고리 &gt; 가공식품 &gt; 캔/통조림 &gt; 참치/닭가슴살</v>
          </cell>
          <cell r="G63" t="str">
            <v>2023-08-18 13:27:21</v>
          </cell>
          <cell r="H63" t="str">
            <v/>
          </cell>
          <cell r="I63" t="str">
            <v>Y</v>
          </cell>
          <cell r="J63" t="str">
            <v>Y</v>
          </cell>
          <cell r="K63" t="str">
            <v>N</v>
          </cell>
          <cell r="L63" t="str">
            <v>할인율</v>
          </cell>
          <cell r="M63">
            <v>0</v>
          </cell>
          <cell r="N63" t="str">
            <v>Y</v>
          </cell>
          <cell r="O63" t="str">
            <v>해당없음</v>
          </cell>
          <cell r="P63" t="str">
            <v/>
          </cell>
          <cell r="Q63" t="str">
            <v>N</v>
          </cell>
          <cell r="R63">
            <v>625331</v>
          </cell>
        </row>
        <row r="64">
          <cell r="A64">
            <v>317622</v>
          </cell>
          <cell r="B64" t="str">
            <v>오뚜기밥 210g 12개</v>
          </cell>
          <cell r="C64" t="str">
            <v>100545</v>
          </cell>
          <cell r="D64" t="str">
            <v>식품 &gt; 상온가공식품 &gt; 즉석간편조리 &gt; 즉석밥/누룽지 &gt; 즉석백미밥</v>
          </cell>
          <cell r="E64" t="str">
            <v>102861</v>
          </cell>
          <cell r="F64" t="str">
            <v>기본카테고리 &gt; 가공식품 &gt; 밥/면/가공식품 &gt; 볶음밥/즉석밥/떡류</v>
          </cell>
          <cell r="G64" t="str">
            <v>2023-08-18 13:27:21</v>
          </cell>
          <cell r="H64" t="str">
            <v/>
          </cell>
          <cell r="I64" t="str">
            <v>Y</v>
          </cell>
          <cell r="J64" t="str">
            <v>Y</v>
          </cell>
          <cell r="K64" t="str">
            <v>N</v>
          </cell>
          <cell r="L64" t="str">
            <v>할인율</v>
          </cell>
          <cell r="M64">
            <v>0</v>
          </cell>
          <cell r="N64" t="str">
            <v>Y</v>
          </cell>
          <cell r="O64" t="str">
            <v>해당없음</v>
          </cell>
          <cell r="P64" t="str">
            <v/>
          </cell>
          <cell r="Q64" t="str">
            <v>N</v>
          </cell>
          <cell r="R64">
            <v>625323</v>
          </cell>
        </row>
        <row r="65">
          <cell r="A65">
            <v>317620</v>
          </cell>
          <cell r="B65" t="str">
            <v>미에로화이바 화이브 미니 100ml 100병</v>
          </cell>
          <cell r="C65" t="str">
            <v>101028</v>
          </cell>
          <cell r="D65" t="str">
            <v>식품 &gt; 생수/음료/커피 &gt; 음료 &gt; 건강/기능성음료 &gt; 기타건강/기능성음료</v>
          </cell>
          <cell r="E65" t="str">
            <v>102802</v>
          </cell>
          <cell r="F65" t="str">
            <v>기본카테고리 &gt; 가공식품 &gt; 음료/파우더/시럽 &gt; 탄산음료/기타음료</v>
          </cell>
          <cell r="G65" t="str">
            <v>2023-08-18 13:27:21</v>
          </cell>
          <cell r="H65" t="str">
            <v/>
          </cell>
          <cell r="I65" t="str">
            <v>Y</v>
          </cell>
          <cell r="J65" t="str">
            <v>Y</v>
          </cell>
          <cell r="K65" t="str">
            <v>N</v>
          </cell>
          <cell r="L65" t="str">
            <v>할인율</v>
          </cell>
          <cell r="M65">
            <v>0</v>
          </cell>
          <cell r="N65" t="str">
            <v>Y</v>
          </cell>
          <cell r="O65" t="str">
            <v>해당없음</v>
          </cell>
          <cell r="P65" t="str">
            <v/>
          </cell>
          <cell r="Q65" t="str">
            <v>N</v>
          </cell>
          <cell r="R65">
            <v>625321</v>
          </cell>
        </row>
        <row r="66">
          <cell r="A66">
            <v>317619</v>
          </cell>
          <cell r="B66" t="str">
            <v>현대 미에로화이바 증정용 1.2L 총 12개</v>
          </cell>
          <cell r="C66" t="str">
            <v>101028</v>
          </cell>
          <cell r="D66" t="str">
            <v>식품 &gt; 생수/음료/커피 &gt; 음료 &gt; 건강/기능성음료 &gt; 기타건강/기능성음료</v>
          </cell>
          <cell r="E66" t="str">
            <v>102802</v>
          </cell>
          <cell r="F66" t="str">
            <v>기본카테고리 &gt; 가공식품 &gt; 음료/파우더/시럽 &gt; 탄산음료/기타음료</v>
          </cell>
          <cell r="G66" t="str">
            <v>2023-08-18 13:27:21</v>
          </cell>
          <cell r="H66" t="str">
            <v/>
          </cell>
          <cell r="I66" t="str">
            <v>Y</v>
          </cell>
          <cell r="J66" t="str">
            <v>Y</v>
          </cell>
          <cell r="K66" t="str">
            <v>N</v>
          </cell>
          <cell r="L66" t="str">
            <v>할인율</v>
          </cell>
          <cell r="M66">
            <v>0</v>
          </cell>
          <cell r="N66" t="str">
            <v>Y</v>
          </cell>
          <cell r="O66" t="str">
            <v>해당없음</v>
          </cell>
          <cell r="P66" t="str">
            <v/>
          </cell>
          <cell r="Q66" t="str">
            <v>N</v>
          </cell>
          <cell r="R66">
            <v>625320</v>
          </cell>
        </row>
        <row r="67">
          <cell r="A67">
            <v>317617</v>
          </cell>
          <cell r="B67" t="str">
            <v>웅진 맑게 우려낸 누룽지 500mL 20개</v>
          </cell>
          <cell r="C67" t="str">
            <v>101040</v>
          </cell>
          <cell r="D67" t="str">
            <v>식품 &gt; 생수/음료/커피 &gt; 음료 &gt; 전통/차음료 &gt; 기타차음료</v>
          </cell>
          <cell r="E67" t="str">
            <v>102802</v>
          </cell>
          <cell r="F67" t="str">
            <v>기본카테고리 &gt; 가공식품 &gt; 음료/파우더/시럽 &gt; 탄산음료/기타음료</v>
          </cell>
          <cell r="G67" t="str">
            <v>2023-08-18 13:27:21</v>
          </cell>
          <cell r="H67" t="str">
            <v/>
          </cell>
          <cell r="I67" t="str">
            <v>Y</v>
          </cell>
          <cell r="J67" t="str">
            <v>Y</v>
          </cell>
          <cell r="K67" t="str">
            <v>N</v>
          </cell>
          <cell r="L67" t="str">
            <v>할인율</v>
          </cell>
          <cell r="M67">
            <v>0</v>
          </cell>
          <cell r="N67" t="str">
            <v>Y</v>
          </cell>
          <cell r="O67" t="str">
            <v>해당없음</v>
          </cell>
          <cell r="P67" t="str">
            <v/>
          </cell>
          <cell r="Q67" t="str">
            <v>N</v>
          </cell>
          <cell r="R67">
            <v>625318</v>
          </cell>
        </row>
        <row r="68">
          <cell r="A68">
            <v>317616</v>
          </cell>
          <cell r="B68" t="str">
            <v>웅진 옥수수수염차 500ml 20개</v>
          </cell>
          <cell r="C68" t="str">
            <v>101036</v>
          </cell>
          <cell r="D68" t="str">
            <v>식품 &gt; 생수/음료/커피 &gt; 음료 &gt; 전통/차음료 &gt; 옥수수차음료</v>
          </cell>
          <cell r="E68" t="str">
            <v>102802</v>
          </cell>
          <cell r="F68" t="str">
            <v>기본카테고리 &gt; 가공식품 &gt; 음료/파우더/시럽 &gt; 탄산음료/기타음료</v>
          </cell>
          <cell r="G68" t="str">
            <v>2023-08-18 13:27:21</v>
          </cell>
          <cell r="H68" t="str">
            <v/>
          </cell>
          <cell r="I68" t="str">
            <v>Y</v>
          </cell>
          <cell r="J68" t="str">
            <v>Y</v>
          </cell>
          <cell r="K68" t="str">
            <v>N</v>
          </cell>
          <cell r="L68" t="str">
            <v>할인율</v>
          </cell>
          <cell r="M68">
            <v>0</v>
          </cell>
          <cell r="N68" t="str">
            <v>Y</v>
          </cell>
          <cell r="O68" t="str">
            <v>해당없음</v>
          </cell>
          <cell r="P68" t="str">
            <v/>
          </cell>
          <cell r="Q68" t="str">
            <v>N</v>
          </cell>
          <cell r="R68">
            <v>625317</v>
          </cell>
        </row>
        <row r="69">
          <cell r="A69">
            <v>317615</v>
          </cell>
          <cell r="B69" t="str">
            <v>웅진 헛개차 500ml 20개</v>
          </cell>
          <cell r="C69" t="str">
            <v>101040</v>
          </cell>
          <cell r="D69" t="str">
            <v>식품 &gt; 생수/음료/커피 &gt; 음료 &gt; 전통/차음료 &gt; 기타차음료</v>
          </cell>
          <cell r="E69" t="str">
            <v>102802</v>
          </cell>
          <cell r="F69" t="str">
            <v>기본카테고리 &gt; 가공식품 &gt; 음료/파우더/시럽 &gt; 탄산음료/기타음료</v>
          </cell>
          <cell r="G69" t="str">
            <v>2023-08-18 13:27:21</v>
          </cell>
          <cell r="H69" t="str">
            <v/>
          </cell>
          <cell r="I69" t="str">
            <v>Y</v>
          </cell>
          <cell r="J69" t="str">
            <v>Y</v>
          </cell>
          <cell r="K69" t="str">
            <v>N</v>
          </cell>
          <cell r="L69" t="str">
            <v>할인율</v>
          </cell>
          <cell r="M69">
            <v>0</v>
          </cell>
          <cell r="N69" t="str">
            <v>Y</v>
          </cell>
          <cell r="O69" t="str">
            <v>해당없음</v>
          </cell>
          <cell r="P69" t="str">
            <v/>
          </cell>
          <cell r="Q69" t="str">
            <v>N</v>
          </cell>
          <cell r="R69">
            <v>625316</v>
          </cell>
        </row>
        <row r="70">
          <cell r="A70">
            <v>317613</v>
          </cell>
          <cell r="B70" t="str">
            <v>일화 옥수수수염차 340ml 20개</v>
          </cell>
          <cell r="C70" t="str">
            <v>101036</v>
          </cell>
          <cell r="D70" t="str">
            <v>식품 &gt; 생수/음료/커피 &gt; 음료 &gt; 전통/차음료 &gt; 옥수수차음료</v>
          </cell>
          <cell r="E70" t="str">
            <v>102802</v>
          </cell>
          <cell r="F70" t="str">
            <v>기본카테고리 &gt; 가공식품 &gt; 음료/파우더/시럽 &gt; 탄산음료/기타음료</v>
          </cell>
          <cell r="G70" t="str">
            <v>2023-08-18 13:27:21</v>
          </cell>
          <cell r="H70" t="str">
            <v/>
          </cell>
          <cell r="I70" t="str">
            <v>Y</v>
          </cell>
          <cell r="J70" t="str">
            <v>Y</v>
          </cell>
          <cell r="K70" t="str">
            <v>N</v>
          </cell>
          <cell r="L70" t="str">
            <v>할인율</v>
          </cell>
          <cell r="M70">
            <v>0</v>
          </cell>
          <cell r="N70" t="str">
            <v>Y</v>
          </cell>
          <cell r="O70" t="str">
            <v>해당없음</v>
          </cell>
          <cell r="P70" t="str">
            <v/>
          </cell>
          <cell r="Q70" t="str">
            <v>N</v>
          </cell>
          <cell r="R70">
            <v>625314</v>
          </cell>
        </row>
        <row r="71">
          <cell r="A71">
            <v>317612</v>
          </cell>
          <cell r="B71" t="str">
            <v>광동 비타500 100ml 100개</v>
          </cell>
          <cell r="C71" t="str">
            <v>101021</v>
          </cell>
          <cell r="D71" t="str">
            <v>식품 &gt; 생수/음료/커피 &gt; 음료 &gt; 건강/기능성음료 &gt; 비타민음료</v>
          </cell>
          <cell r="E71" t="str">
            <v>102802</v>
          </cell>
          <cell r="F71" t="str">
            <v>기본카테고리 &gt; 가공식품 &gt; 음료/파우더/시럽 &gt; 탄산음료/기타음료</v>
          </cell>
          <cell r="G71" t="str">
            <v>2023-08-18 13:27:21</v>
          </cell>
          <cell r="H71" t="str">
            <v/>
          </cell>
          <cell r="I71" t="str">
            <v>Y</v>
          </cell>
          <cell r="J71" t="str">
            <v>Y</v>
          </cell>
          <cell r="K71" t="str">
            <v>N</v>
          </cell>
          <cell r="L71" t="str">
            <v>할인율</v>
          </cell>
          <cell r="M71">
            <v>0</v>
          </cell>
          <cell r="N71" t="str">
            <v>Y</v>
          </cell>
          <cell r="O71" t="str">
            <v>해당없음</v>
          </cell>
          <cell r="P71" t="str">
            <v/>
          </cell>
          <cell r="Q71" t="str">
            <v>N</v>
          </cell>
          <cell r="R71">
            <v>625313</v>
          </cell>
        </row>
        <row r="72">
          <cell r="A72">
            <v>317611</v>
          </cell>
          <cell r="B72" t="str">
            <v>광동 비타500 180ML 40개</v>
          </cell>
          <cell r="C72" t="str">
            <v>101021</v>
          </cell>
          <cell r="D72" t="str">
            <v>식품 &gt; 생수/음료/커피 &gt; 음료 &gt; 건강/기능성음료 &gt; 비타민음료</v>
          </cell>
          <cell r="E72" t="str">
            <v>102802</v>
          </cell>
          <cell r="F72" t="str">
            <v>기본카테고리 &gt; 가공식품 &gt; 음료/파우더/시럽 &gt; 탄산음료/기타음료</v>
          </cell>
          <cell r="G72" t="str">
            <v>2023-08-18 13:27:21</v>
          </cell>
          <cell r="H72" t="str">
            <v/>
          </cell>
          <cell r="I72" t="str">
            <v>Y</v>
          </cell>
          <cell r="J72" t="str">
            <v>Y</v>
          </cell>
          <cell r="K72" t="str">
            <v>N</v>
          </cell>
          <cell r="L72" t="str">
            <v>할인율</v>
          </cell>
          <cell r="M72">
            <v>0</v>
          </cell>
          <cell r="N72" t="str">
            <v>Y</v>
          </cell>
          <cell r="O72" t="str">
            <v>해당없음</v>
          </cell>
          <cell r="P72" t="str">
            <v/>
          </cell>
          <cell r="Q72" t="str">
            <v>N</v>
          </cell>
          <cell r="R72">
            <v>625312</v>
          </cell>
        </row>
        <row r="73">
          <cell r="A73">
            <v>317610</v>
          </cell>
          <cell r="B73" t="str">
            <v>광동제약 비타500캔 240ml 30개</v>
          </cell>
          <cell r="C73" t="str">
            <v>101038</v>
          </cell>
          <cell r="D73" t="str">
            <v>식품 &gt; 생수/음료/커피 &gt; 음료 &gt; 전통/차음료 &gt; 헛개수차음료</v>
          </cell>
          <cell r="E73" t="str">
            <v>102802</v>
          </cell>
          <cell r="F73" t="str">
            <v>기본카테고리 &gt; 가공식품 &gt; 음료/파우더/시럽 &gt; 탄산음료/기타음료</v>
          </cell>
          <cell r="G73" t="str">
            <v>2023-08-18 13:27:21</v>
          </cell>
          <cell r="H73" t="str">
            <v/>
          </cell>
          <cell r="I73" t="str">
            <v>Y</v>
          </cell>
          <cell r="J73" t="str">
            <v>Y</v>
          </cell>
          <cell r="K73" t="str">
            <v>N</v>
          </cell>
          <cell r="L73" t="str">
            <v>할인율</v>
          </cell>
          <cell r="M73">
            <v>0</v>
          </cell>
          <cell r="N73" t="str">
            <v>Y</v>
          </cell>
          <cell r="O73" t="str">
            <v>해당없음</v>
          </cell>
          <cell r="P73" t="str">
            <v/>
          </cell>
          <cell r="Q73" t="str">
            <v>N</v>
          </cell>
          <cell r="R73">
            <v>625311</v>
          </cell>
        </row>
        <row r="74">
          <cell r="A74">
            <v>317609</v>
          </cell>
          <cell r="B74" t="str">
            <v>삼성 까스명수 소화제 75ml 60개</v>
          </cell>
          <cell r="C74" t="str">
            <v>101028</v>
          </cell>
          <cell r="D74" t="str">
            <v>식품 &gt; 생수/음료/커피 &gt; 음료 &gt; 건강/기능성음료 &gt; 기타건강/기능성음료</v>
          </cell>
          <cell r="E74" t="str">
            <v>102802</v>
          </cell>
          <cell r="F74" t="str">
            <v>기본카테고리 &gt; 가공식품 &gt; 음료/파우더/시럽 &gt; 탄산음료/기타음료</v>
          </cell>
          <cell r="G74" t="str">
            <v>2023-08-18 13:27:21</v>
          </cell>
          <cell r="H74" t="str">
            <v/>
          </cell>
          <cell r="I74" t="str">
            <v>Y</v>
          </cell>
          <cell r="J74" t="str">
            <v>Y</v>
          </cell>
          <cell r="K74" t="str">
            <v>N</v>
          </cell>
          <cell r="L74" t="str">
            <v>할인율</v>
          </cell>
          <cell r="M74">
            <v>0</v>
          </cell>
          <cell r="N74" t="str">
            <v>Y</v>
          </cell>
          <cell r="O74" t="str">
            <v>해당없음</v>
          </cell>
          <cell r="P74" t="str">
            <v/>
          </cell>
          <cell r="Q74" t="str">
            <v>N</v>
          </cell>
          <cell r="R74">
            <v>625310</v>
          </cell>
        </row>
        <row r="75">
          <cell r="A75">
            <v>317606</v>
          </cell>
          <cell r="B75" t="str">
            <v>동화약품 부채표 까스활 75ml 60개</v>
          </cell>
          <cell r="C75" t="str">
            <v>101028</v>
          </cell>
          <cell r="D75" t="str">
            <v>식품 &gt; 생수/음료/커피 &gt; 음료 &gt; 건강/기능성음료 &gt; 기타건강/기능성음료</v>
          </cell>
          <cell r="E75" t="str">
            <v>102802</v>
          </cell>
          <cell r="F75" t="str">
            <v>기본카테고리 &gt; 가공식품 &gt; 음료/파우더/시럽 &gt; 탄산음료/기타음료</v>
          </cell>
          <cell r="G75" t="str">
            <v>2023-08-18 13:27:21</v>
          </cell>
          <cell r="H75" t="str">
            <v/>
          </cell>
          <cell r="I75" t="str">
            <v>Y</v>
          </cell>
          <cell r="J75" t="str">
            <v>Y</v>
          </cell>
          <cell r="K75" t="str">
            <v>N</v>
          </cell>
          <cell r="L75" t="str">
            <v>할인율</v>
          </cell>
          <cell r="M75">
            <v>0</v>
          </cell>
          <cell r="N75" t="str">
            <v>Y</v>
          </cell>
          <cell r="O75" t="str">
            <v>해당없음</v>
          </cell>
          <cell r="P75" t="str">
            <v/>
          </cell>
          <cell r="Q75" t="str">
            <v>N</v>
          </cell>
          <cell r="R75">
            <v>625307</v>
          </cell>
        </row>
        <row r="76">
          <cell r="A76">
            <v>317605</v>
          </cell>
          <cell r="B76" t="str">
            <v>이노엔 헛개 컨디션 100ml 50개</v>
          </cell>
          <cell r="C76" t="str">
            <v>101038</v>
          </cell>
          <cell r="D76" t="str">
            <v>식품 &gt; 생수/음료/커피 &gt; 음료 &gt; 전통/차음료 &gt; 헛개수차음료</v>
          </cell>
          <cell r="E76" t="str">
            <v>102802</v>
          </cell>
          <cell r="F76" t="str">
            <v>기본카테고리 &gt; 가공식품 &gt; 음료/파우더/시럽 &gt; 탄산음료/기타음료</v>
          </cell>
          <cell r="G76" t="str">
            <v>2023-08-18 13:27:21</v>
          </cell>
          <cell r="H76" t="str">
            <v/>
          </cell>
          <cell r="I76" t="str">
            <v>Y</v>
          </cell>
          <cell r="J76" t="str">
            <v>Y</v>
          </cell>
          <cell r="K76" t="str">
            <v>N</v>
          </cell>
          <cell r="L76" t="str">
            <v>할인율</v>
          </cell>
          <cell r="M76">
            <v>0</v>
          </cell>
          <cell r="N76" t="str">
            <v>Y</v>
          </cell>
          <cell r="O76" t="str">
            <v>해당없음</v>
          </cell>
          <cell r="P76" t="str">
            <v/>
          </cell>
          <cell r="Q76" t="str">
            <v>N</v>
          </cell>
          <cell r="R76">
            <v>625306</v>
          </cell>
        </row>
        <row r="77">
          <cell r="A77">
            <v>317602</v>
          </cell>
          <cell r="B77" t="str">
            <v>비락식혜 238ml 24입</v>
          </cell>
          <cell r="C77" t="str">
            <v>101034</v>
          </cell>
          <cell r="D77" t="str">
            <v>식품 &gt; 생수/음료/커피 &gt; 음료 &gt; 전통/차음료 &gt; 식혜</v>
          </cell>
          <cell r="E77" t="str">
            <v>102802</v>
          </cell>
          <cell r="F77" t="str">
            <v>기본카테고리 &gt; 가공식품 &gt; 음료/파우더/시럽 &gt; 탄산음료/기타음료</v>
          </cell>
          <cell r="G77" t="str">
            <v>2023-08-18 13:27:21</v>
          </cell>
          <cell r="H77" t="str">
            <v/>
          </cell>
          <cell r="I77" t="str">
            <v>Y</v>
          </cell>
          <cell r="J77" t="str">
            <v>Y</v>
          </cell>
          <cell r="K77" t="str">
            <v>N</v>
          </cell>
          <cell r="L77" t="str">
            <v>할인율</v>
          </cell>
          <cell r="M77">
            <v>0</v>
          </cell>
          <cell r="N77" t="str">
            <v>Y</v>
          </cell>
          <cell r="O77" t="str">
            <v>해당없음</v>
          </cell>
          <cell r="P77" t="str">
            <v/>
          </cell>
          <cell r="Q77" t="str">
            <v>N</v>
          </cell>
          <cell r="R77">
            <v>625303</v>
          </cell>
        </row>
        <row r="78">
          <cell r="A78">
            <v>317601</v>
          </cell>
          <cell r="B78" t="str">
            <v>델몬트 망고 캔 로어슈거 240ml 30개</v>
          </cell>
          <cell r="C78" t="str">
            <v>115210</v>
          </cell>
          <cell r="D78" t="str">
            <v>식품 &gt; 생수/음료/커피 &gt; 음료 &gt; 과일/야채음료</v>
          </cell>
          <cell r="E78" t="str">
            <v>102802</v>
          </cell>
          <cell r="F78" t="str">
            <v>기본카테고리 &gt; 가공식품 &gt; 음료/파우더/시럽 &gt; 탄산음료/기타음료</v>
          </cell>
          <cell r="G78" t="str">
            <v>2023-08-18 13:27:21</v>
          </cell>
          <cell r="H78" t="str">
            <v/>
          </cell>
          <cell r="I78" t="str">
            <v>Y</v>
          </cell>
          <cell r="J78" t="str">
            <v>Y</v>
          </cell>
          <cell r="K78" t="str">
            <v>N</v>
          </cell>
          <cell r="L78" t="str">
            <v>할인율</v>
          </cell>
          <cell r="M78">
            <v>0</v>
          </cell>
          <cell r="N78" t="str">
            <v>Y</v>
          </cell>
          <cell r="O78" t="str">
            <v>해당없음</v>
          </cell>
          <cell r="P78" t="str">
            <v/>
          </cell>
          <cell r="Q78" t="str">
            <v>N</v>
          </cell>
          <cell r="R78">
            <v>625302</v>
          </cell>
        </row>
        <row r="79">
          <cell r="A79">
            <v>317599</v>
          </cell>
          <cell r="B79" t="str">
            <v>남양 과수원 사과190ml 24개</v>
          </cell>
          <cell r="C79" t="str">
            <v>115210</v>
          </cell>
          <cell r="D79" t="str">
            <v>식품 &gt; 생수/음료/커피 &gt; 음료 &gt; 과일/야채음료</v>
          </cell>
          <cell r="E79" t="str">
            <v>102802</v>
          </cell>
          <cell r="F79" t="str">
            <v>기본카테고리 &gt; 가공식품 &gt; 음료/파우더/시럽 &gt; 탄산음료/기타음료</v>
          </cell>
          <cell r="G79" t="str">
            <v>2023-08-18 13:27:21</v>
          </cell>
          <cell r="H79" t="str">
            <v/>
          </cell>
          <cell r="I79" t="str">
            <v>Y</v>
          </cell>
          <cell r="J79" t="str">
            <v>Y</v>
          </cell>
          <cell r="K79" t="str">
            <v>N</v>
          </cell>
          <cell r="L79" t="str">
            <v>할인율</v>
          </cell>
          <cell r="M79">
            <v>0</v>
          </cell>
          <cell r="N79" t="str">
            <v>Y</v>
          </cell>
          <cell r="O79" t="str">
            <v>해당없음</v>
          </cell>
          <cell r="P79" t="str">
            <v/>
          </cell>
          <cell r="Q79" t="str">
            <v>N</v>
          </cell>
          <cell r="R79">
            <v>625300</v>
          </cell>
        </row>
        <row r="80">
          <cell r="A80">
            <v>317598</v>
          </cell>
          <cell r="B80" t="str">
            <v>웅진 자연은 사과 1.5L 12개</v>
          </cell>
          <cell r="C80" t="str">
            <v>115210</v>
          </cell>
          <cell r="D80" t="str">
            <v>식품 &gt; 생수/음료/커피 &gt; 음료 &gt; 과일/야채음료</v>
          </cell>
          <cell r="E80" t="str">
            <v>102802</v>
          </cell>
          <cell r="F80" t="str">
            <v>기본카테고리 &gt; 가공식품 &gt; 음료/파우더/시럽 &gt; 탄산음료/기타음료</v>
          </cell>
          <cell r="G80" t="str">
            <v>2023-08-18 13:27:21</v>
          </cell>
          <cell r="H80" t="str">
            <v/>
          </cell>
          <cell r="I80" t="str">
            <v>Y</v>
          </cell>
          <cell r="J80" t="str">
            <v>Y</v>
          </cell>
          <cell r="K80" t="str">
            <v>N</v>
          </cell>
          <cell r="L80" t="str">
            <v>할인율</v>
          </cell>
          <cell r="M80">
            <v>0</v>
          </cell>
          <cell r="N80" t="str">
            <v>Y</v>
          </cell>
          <cell r="O80" t="str">
            <v>해당없음</v>
          </cell>
          <cell r="P80" t="str">
            <v/>
          </cell>
          <cell r="Q80" t="str">
            <v>N</v>
          </cell>
          <cell r="R80">
            <v>625299</v>
          </cell>
        </row>
        <row r="81">
          <cell r="A81">
            <v>317597</v>
          </cell>
          <cell r="B81" t="str">
            <v>웅진 자연은 알로에 500ml 20개</v>
          </cell>
          <cell r="C81" t="str">
            <v>115210</v>
          </cell>
          <cell r="D81" t="str">
            <v>식품 &gt; 생수/음료/커피 &gt; 음료 &gt; 과일/야채음료</v>
          </cell>
          <cell r="E81" t="str">
            <v>102802</v>
          </cell>
          <cell r="F81" t="str">
            <v>기본카테고리 &gt; 가공식품 &gt; 음료/파우더/시럽 &gt; 탄산음료/기타음료</v>
          </cell>
          <cell r="G81" t="str">
            <v>2023-08-18 13:27:21</v>
          </cell>
          <cell r="H81" t="str">
            <v/>
          </cell>
          <cell r="I81" t="str">
            <v>Y</v>
          </cell>
          <cell r="J81" t="str">
            <v>Y</v>
          </cell>
          <cell r="K81" t="str">
            <v>N</v>
          </cell>
          <cell r="L81" t="str">
            <v>할인율</v>
          </cell>
          <cell r="M81">
            <v>0</v>
          </cell>
          <cell r="N81" t="str">
            <v>Y</v>
          </cell>
          <cell r="O81" t="str">
            <v>해당없음</v>
          </cell>
          <cell r="P81" t="str">
            <v/>
          </cell>
          <cell r="Q81" t="str">
            <v>N</v>
          </cell>
          <cell r="R81">
            <v>625298</v>
          </cell>
        </row>
        <row r="82">
          <cell r="A82">
            <v>317596</v>
          </cell>
          <cell r="B82" t="str">
            <v>웅진 하늘보리180ml 30개</v>
          </cell>
          <cell r="C82" t="str">
            <v>101032</v>
          </cell>
          <cell r="D82" t="str">
            <v>식품 &gt; 생수/음료/커피 &gt; 음료 &gt; 전통/차음료 &gt; 보리차음료</v>
          </cell>
          <cell r="E82" t="str">
            <v>102802</v>
          </cell>
          <cell r="F82" t="str">
            <v>기본카테고리 &gt; 가공식품 &gt; 음료/파우더/시럽 &gt; 탄산음료/기타음료</v>
          </cell>
          <cell r="G82" t="str">
            <v>2023-08-18 13:27:21</v>
          </cell>
          <cell r="H82" t="str">
            <v/>
          </cell>
          <cell r="I82" t="str">
            <v>Y</v>
          </cell>
          <cell r="J82" t="str">
            <v>Y</v>
          </cell>
          <cell r="K82" t="str">
            <v>N</v>
          </cell>
          <cell r="L82" t="str">
            <v>할인율</v>
          </cell>
          <cell r="M82">
            <v>0</v>
          </cell>
          <cell r="N82" t="str">
            <v>Y</v>
          </cell>
          <cell r="O82" t="str">
            <v>해당없음</v>
          </cell>
          <cell r="P82" t="str">
            <v/>
          </cell>
          <cell r="Q82" t="str">
            <v>N</v>
          </cell>
          <cell r="R82">
            <v>625297</v>
          </cell>
        </row>
        <row r="83">
          <cell r="A83">
            <v>317594</v>
          </cell>
          <cell r="B83" t="str">
            <v>웅진 자연은 고칼슘 오렌지 캔 180ml 30개</v>
          </cell>
          <cell r="C83" t="str">
            <v>115210</v>
          </cell>
          <cell r="D83" t="str">
            <v>식품 &gt; 생수/음료/커피 &gt; 음료 &gt; 과일/야채음료</v>
          </cell>
          <cell r="E83" t="str">
            <v>102802</v>
          </cell>
          <cell r="F83" t="str">
            <v>기본카테고리 &gt; 가공식품 &gt; 음료/파우더/시럽 &gt; 탄산음료/기타음료</v>
          </cell>
          <cell r="G83" t="str">
            <v>2023-08-18 13:27:21</v>
          </cell>
          <cell r="H83" t="str">
            <v/>
          </cell>
          <cell r="I83" t="str">
            <v>Y</v>
          </cell>
          <cell r="J83" t="str">
            <v>Y</v>
          </cell>
          <cell r="K83" t="str">
            <v>N</v>
          </cell>
          <cell r="L83" t="str">
            <v>할인율</v>
          </cell>
          <cell r="M83">
            <v>0</v>
          </cell>
          <cell r="N83" t="str">
            <v>Y</v>
          </cell>
          <cell r="O83" t="str">
            <v>해당없음</v>
          </cell>
          <cell r="P83" t="str">
            <v/>
          </cell>
          <cell r="Q83" t="str">
            <v>N</v>
          </cell>
          <cell r="R83">
            <v>625295</v>
          </cell>
        </row>
        <row r="84">
          <cell r="A84">
            <v>317591</v>
          </cell>
          <cell r="B84" t="str">
            <v>남양 과수원 청포도 190ml 24개</v>
          </cell>
          <cell r="C84" t="str">
            <v>115210</v>
          </cell>
          <cell r="D84" t="str">
            <v>식품 &gt; 생수/음료/커피 &gt; 음료 &gt; 과일/야채음료</v>
          </cell>
          <cell r="E84" t="str">
            <v>102802</v>
          </cell>
          <cell r="F84" t="str">
            <v>기본카테고리 &gt; 가공식품 &gt; 음료/파우더/시럽 &gt; 탄산음료/기타음료</v>
          </cell>
          <cell r="G84" t="str">
            <v>2023-08-18 13:27:21</v>
          </cell>
          <cell r="H84" t="str">
            <v/>
          </cell>
          <cell r="I84" t="str">
            <v>Y</v>
          </cell>
          <cell r="J84" t="str">
            <v>Y</v>
          </cell>
          <cell r="K84" t="str">
            <v>N</v>
          </cell>
          <cell r="L84" t="str">
            <v>할인율</v>
          </cell>
          <cell r="M84">
            <v>0</v>
          </cell>
          <cell r="N84" t="str">
            <v>Y</v>
          </cell>
          <cell r="O84" t="str">
            <v>해당없음</v>
          </cell>
          <cell r="P84" t="str">
            <v/>
          </cell>
          <cell r="Q84" t="str">
            <v>N</v>
          </cell>
          <cell r="R84">
            <v>625292</v>
          </cell>
        </row>
        <row r="85">
          <cell r="A85">
            <v>317587</v>
          </cell>
          <cell r="B85" t="str">
            <v>웅진 가야 토마토농장 500mL 20개</v>
          </cell>
          <cell r="C85" t="str">
            <v>115210</v>
          </cell>
          <cell r="D85" t="str">
            <v>식품 &gt; 생수/음료/커피 &gt; 음료 &gt; 과일/야채음료</v>
          </cell>
          <cell r="E85" t="str">
            <v>102802</v>
          </cell>
          <cell r="F85" t="str">
            <v>기본카테고리 &gt; 가공식품 &gt; 음료/파우더/시럽 &gt; 탄산음료/기타음료</v>
          </cell>
          <cell r="G85" t="str">
            <v>2023-08-18 13:27:21</v>
          </cell>
          <cell r="H85" t="str">
            <v/>
          </cell>
          <cell r="I85" t="str">
            <v>Y</v>
          </cell>
          <cell r="J85" t="str">
            <v>Y</v>
          </cell>
          <cell r="K85" t="str">
            <v>N</v>
          </cell>
          <cell r="L85" t="str">
            <v>할인율</v>
          </cell>
          <cell r="M85">
            <v>0</v>
          </cell>
          <cell r="N85" t="str">
            <v>Y</v>
          </cell>
          <cell r="O85" t="str">
            <v>해당없음</v>
          </cell>
          <cell r="P85" t="str">
            <v/>
          </cell>
          <cell r="Q85" t="str">
            <v>N</v>
          </cell>
          <cell r="R85">
            <v>625288</v>
          </cell>
        </row>
        <row r="86">
          <cell r="A86">
            <v>317586</v>
          </cell>
          <cell r="B86" t="str">
            <v>참맑은 토마토 175ml 30개</v>
          </cell>
          <cell r="C86" t="str">
            <v>115210</v>
          </cell>
          <cell r="D86" t="str">
            <v>식품 &gt; 생수/음료/커피 &gt; 음료 &gt; 과일/야채음료</v>
          </cell>
          <cell r="E86" t="str">
            <v>102802</v>
          </cell>
          <cell r="F86" t="str">
            <v>기본카테고리 &gt; 가공식품 &gt; 음료/파우더/시럽 &gt; 탄산음료/기타음료</v>
          </cell>
          <cell r="G86" t="str">
            <v>2023-08-18 13:27:21</v>
          </cell>
          <cell r="H86" t="str">
            <v/>
          </cell>
          <cell r="I86" t="str">
            <v>Y</v>
          </cell>
          <cell r="J86" t="str">
            <v>Y</v>
          </cell>
          <cell r="K86" t="str">
            <v>N</v>
          </cell>
          <cell r="L86" t="str">
            <v>할인율</v>
          </cell>
          <cell r="M86">
            <v>0</v>
          </cell>
          <cell r="N86" t="str">
            <v>Y</v>
          </cell>
          <cell r="O86" t="str">
            <v>해당없음</v>
          </cell>
          <cell r="P86" t="str">
            <v/>
          </cell>
          <cell r="Q86" t="str">
            <v>N</v>
          </cell>
          <cell r="R86">
            <v>625287</v>
          </cell>
        </row>
        <row r="87">
          <cell r="A87">
            <v>317585</v>
          </cell>
          <cell r="B87" t="str">
            <v>블랙보리 라이트 175ml 30개</v>
          </cell>
          <cell r="C87" t="str">
            <v>101032</v>
          </cell>
          <cell r="D87" t="str">
            <v>식품 &gt; 생수/음료/커피 &gt; 음료 &gt; 전통/차음료 &gt; 보리차음료</v>
          </cell>
          <cell r="E87" t="str">
            <v>102802</v>
          </cell>
          <cell r="F87" t="str">
            <v>기본카테고리 &gt; 가공식품 &gt; 음료/파우더/시럽 &gt; 탄산음료/기타음료</v>
          </cell>
          <cell r="G87" t="str">
            <v>2023-08-18 13:27:21</v>
          </cell>
          <cell r="H87" t="str">
            <v/>
          </cell>
          <cell r="I87" t="str">
            <v>Y</v>
          </cell>
          <cell r="J87" t="str">
            <v>Y</v>
          </cell>
          <cell r="K87" t="str">
            <v>N</v>
          </cell>
          <cell r="L87" t="str">
            <v>할인율</v>
          </cell>
          <cell r="M87">
            <v>0</v>
          </cell>
          <cell r="N87" t="str">
            <v>Y</v>
          </cell>
          <cell r="O87" t="str">
            <v>해당없음</v>
          </cell>
          <cell r="P87" t="str">
            <v/>
          </cell>
          <cell r="Q87" t="str">
            <v>N</v>
          </cell>
          <cell r="R87">
            <v>625286</v>
          </cell>
        </row>
        <row r="88">
          <cell r="A88">
            <v>317584</v>
          </cell>
          <cell r="B88" t="str">
            <v>칸타타 콘트라베이스 콜드브루 라떼 500ml 24개</v>
          </cell>
          <cell r="C88" t="str">
            <v>101060</v>
          </cell>
          <cell r="D88" t="str">
            <v>식품 &gt; 생수/음료/커피 &gt; 커피 &gt; 커피음료</v>
          </cell>
          <cell r="E88" t="str">
            <v>102801</v>
          </cell>
          <cell r="F88" t="str">
            <v>기본카테고리 &gt; 가공식품 &gt; 음료/파우더/시럽 &gt; 커피/원두</v>
          </cell>
          <cell r="G88" t="str">
            <v>2023-08-18 13:27:21</v>
          </cell>
          <cell r="H88" t="str">
            <v/>
          </cell>
          <cell r="I88" t="str">
            <v>Y</v>
          </cell>
          <cell r="J88" t="str">
            <v>Y</v>
          </cell>
          <cell r="K88" t="str">
            <v>N</v>
          </cell>
          <cell r="L88" t="str">
            <v>할인율</v>
          </cell>
          <cell r="M88">
            <v>0</v>
          </cell>
          <cell r="N88" t="str">
            <v>Y</v>
          </cell>
          <cell r="O88" t="str">
            <v>해당없음</v>
          </cell>
          <cell r="P88" t="str">
            <v/>
          </cell>
          <cell r="Q88" t="str">
            <v>N</v>
          </cell>
          <cell r="R88">
            <v>625285</v>
          </cell>
        </row>
        <row r="89">
          <cell r="A89">
            <v>317582</v>
          </cell>
          <cell r="B89" t="str">
            <v>동서 스타벅스 병커피 281ml 16개</v>
          </cell>
          <cell r="C89" t="str">
            <v>101060</v>
          </cell>
          <cell r="D89" t="str">
            <v>식품 &gt; 생수/음료/커피 &gt; 커피 &gt; 커피음료</v>
          </cell>
          <cell r="E89" t="str">
            <v>102801</v>
          </cell>
          <cell r="F89" t="str">
            <v>기본카테고리 &gt; 가공식품 &gt; 음료/파우더/시럽 &gt; 커피/원두</v>
          </cell>
          <cell r="G89" t="str">
            <v>2023-08-18 13:27:21</v>
          </cell>
          <cell r="H89" t="str">
            <v/>
          </cell>
          <cell r="I89" t="str">
            <v>Y</v>
          </cell>
          <cell r="J89" t="str">
            <v>Y</v>
          </cell>
          <cell r="K89" t="str">
            <v>N</v>
          </cell>
          <cell r="L89" t="str">
            <v>할인율</v>
          </cell>
          <cell r="M89">
            <v>0</v>
          </cell>
          <cell r="N89" t="str">
            <v>Y</v>
          </cell>
          <cell r="O89" t="str">
            <v>해당없음</v>
          </cell>
          <cell r="P89" t="str">
            <v/>
          </cell>
          <cell r="Q89" t="str">
            <v>N</v>
          </cell>
          <cell r="R89">
            <v>625283</v>
          </cell>
        </row>
        <row r="90">
          <cell r="A90">
            <v>317581</v>
          </cell>
          <cell r="B90" t="str">
            <v>칸타타 파우치 커피 카라멜마끼아또 230ml 50개</v>
          </cell>
          <cell r="C90" t="str">
            <v>101060</v>
          </cell>
          <cell r="D90" t="str">
            <v>식품 &gt; 생수/음료/커피 &gt; 커피 &gt; 커피음료</v>
          </cell>
          <cell r="E90" t="str">
            <v>102801</v>
          </cell>
          <cell r="F90" t="str">
            <v>기본카테고리 &gt; 가공식품 &gt; 음료/파우더/시럽 &gt; 커피/원두</v>
          </cell>
          <cell r="G90" t="str">
            <v>2023-08-18 13:27:21</v>
          </cell>
          <cell r="H90" t="str">
            <v/>
          </cell>
          <cell r="I90" t="str">
            <v>Y</v>
          </cell>
          <cell r="J90" t="str">
            <v>Y</v>
          </cell>
          <cell r="K90" t="str">
            <v>N</v>
          </cell>
          <cell r="L90" t="str">
            <v>할인율</v>
          </cell>
          <cell r="M90">
            <v>0</v>
          </cell>
          <cell r="N90" t="str">
            <v>Y</v>
          </cell>
          <cell r="O90" t="str">
            <v>해당없음</v>
          </cell>
          <cell r="P90" t="str">
            <v/>
          </cell>
          <cell r="Q90" t="str">
            <v>N</v>
          </cell>
          <cell r="R90">
            <v>625282</v>
          </cell>
        </row>
        <row r="91">
          <cell r="A91">
            <v>317580</v>
          </cell>
          <cell r="B91" t="str">
            <v>롯데칠성음료 칸타타 아이스 헤이즐넛향 파우치 230ml 50개</v>
          </cell>
          <cell r="C91" t="str">
            <v>101060</v>
          </cell>
          <cell r="D91" t="str">
            <v>식품 &gt; 생수/음료/커피 &gt; 커피 &gt; 커피음료</v>
          </cell>
          <cell r="E91" t="str">
            <v>102801</v>
          </cell>
          <cell r="F91" t="str">
            <v>기본카테고리 &gt; 가공식품 &gt; 음료/파우더/시럽 &gt; 커피/원두</v>
          </cell>
          <cell r="G91" t="str">
            <v>2023-08-18 13:27:21</v>
          </cell>
          <cell r="H91" t="str">
            <v/>
          </cell>
          <cell r="I91" t="str">
            <v>Y</v>
          </cell>
          <cell r="J91" t="str">
            <v>Y</v>
          </cell>
          <cell r="K91" t="str">
            <v>N</v>
          </cell>
          <cell r="L91" t="str">
            <v>할인율</v>
          </cell>
          <cell r="M91">
            <v>0</v>
          </cell>
          <cell r="N91" t="str">
            <v>Y</v>
          </cell>
          <cell r="O91" t="str">
            <v>해당없음</v>
          </cell>
          <cell r="P91" t="str">
            <v/>
          </cell>
          <cell r="Q91" t="str">
            <v>N</v>
          </cell>
          <cell r="R91">
            <v>625281</v>
          </cell>
        </row>
        <row r="92">
          <cell r="A92">
            <v>317579</v>
          </cell>
          <cell r="B92" t="str">
            <v>칸타타 콘트라베이스 콜드브루 스위트블랙 500ml 24개</v>
          </cell>
          <cell r="C92" t="str">
            <v>101060</v>
          </cell>
          <cell r="D92" t="str">
            <v>식품 &gt; 생수/음료/커피 &gt; 커피 &gt; 커피음료</v>
          </cell>
          <cell r="E92" t="str">
            <v>102801</v>
          </cell>
          <cell r="F92" t="str">
            <v>기본카테고리 &gt; 가공식품 &gt; 음료/파우더/시럽 &gt; 커피/원두</v>
          </cell>
          <cell r="G92" t="str">
            <v>2023-08-18 13:27:21</v>
          </cell>
          <cell r="H92" t="str">
            <v/>
          </cell>
          <cell r="I92" t="str">
            <v>Y</v>
          </cell>
          <cell r="J92" t="str">
            <v>Y</v>
          </cell>
          <cell r="K92" t="str">
            <v>N</v>
          </cell>
          <cell r="L92" t="str">
            <v>할인율</v>
          </cell>
          <cell r="M92">
            <v>0</v>
          </cell>
          <cell r="N92" t="str">
            <v>Y</v>
          </cell>
          <cell r="O92" t="str">
            <v>해당없음</v>
          </cell>
          <cell r="P92" t="str">
            <v/>
          </cell>
          <cell r="Q92" t="str">
            <v>N</v>
          </cell>
          <cell r="R92">
            <v>625280</v>
          </cell>
        </row>
        <row r="93">
          <cell r="A93">
            <v>317577</v>
          </cell>
          <cell r="B93" t="str">
            <v>일화 초정 탄산수 190ml 30개</v>
          </cell>
          <cell r="C93" t="str">
            <v>100979</v>
          </cell>
          <cell r="D93" t="str">
            <v>식품 &gt; 생수/음료/커피 &gt; 생수/탄산수 &gt; 탄산수</v>
          </cell>
          <cell r="E93" t="str">
            <v>102802</v>
          </cell>
          <cell r="F93" t="str">
            <v>기본카테고리 &gt; 가공식품 &gt; 음료/파우더/시럽 &gt; 탄산음료/기타음료</v>
          </cell>
          <cell r="G93" t="str">
            <v>2023-08-18 13:27:21</v>
          </cell>
          <cell r="H93" t="str">
            <v/>
          </cell>
          <cell r="I93" t="str">
            <v>Y</v>
          </cell>
          <cell r="J93" t="str">
            <v>Y</v>
          </cell>
          <cell r="K93" t="str">
            <v>N</v>
          </cell>
          <cell r="L93" t="str">
            <v>할인율</v>
          </cell>
          <cell r="M93">
            <v>0</v>
          </cell>
          <cell r="N93" t="str">
            <v>Y</v>
          </cell>
          <cell r="O93" t="str">
            <v>해당없음</v>
          </cell>
          <cell r="P93" t="str">
            <v/>
          </cell>
          <cell r="Q93" t="str">
            <v>N</v>
          </cell>
          <cell r="R93">
            <v>625278</v>
          </cell>
        </row>
        <row r="94">
          <cell r="A94">
            <v>317575</v>
          </cell>
          <cell r="B94" t="str">
            <v>썬키스트 자몽 소다 뚱캔 355ml 24개</v>
          </cell>
          <cell r="C94" t="str">
            <v>101045</v>
          </cell>
          <cell r="D94" t="str">
            <v>식품 &gt; 생수/음료/커피 &gt; 음료 &gt; 탄산음료 &gt; 기타탄산음료</v>
          </cell>
          <cell r="E94" t="str">
            <v>102802</v>
          </cell>
          <cell r="F94" t="str">
            <v>기본카테고리 &gt; 가공식품 &gt; 음료/파우더/시럽 &gt; 탄산음료/기타음료</v>
          </cell>
          <cell r="G94" t="str">
            <v>2023-08-18 13:27:21</v>
          </cell>
          <cell r="H94" t="str">
            <v/>
          </cell>
          <cell r="I94" t="str">
            <v>Y</v>
          </cell>
          <cell r="J94" t="str">
            <v>Y</v>
          </cell>
          <cell r="K94" t="str">
            <v>N</v>
          </cell>
          <cell r="L94" t="str">
            <v>할인율</v>
          </cell>
          <cell r="M94">
            <v>0</v>
          </cell>
          <cell r="N94" t="str">
            <v>Y</v>
          </cell>
          <cell r="O94" t="str">
            <v>해당없음</v>
          </cell>
          <cell r="P94" t="str">
            <v/>
          </cell>
          <cell r="Q94" t="str">
            <v>N</v>
          </cell>
          <cell r="R94">
            <v>625276</v>
          </cell>
        </row>
        <row r="95">
          <cell r="A95">
            <v>317574</v>
          </cell>
          <cell r="B95" t="str">
            <v>칠성 사이다 제로 250ml 30캔</v>
          </cell>
          <cell r="C95" t="str">
            <v>101042</v>
          </cell>
          <cell r="D95" t="str">
            <v>식품 &gt; 생수/음료/커피 &gt; 음료 &gt; 탄산음료 &gt; 사이다</v>
          </cell>
          <cell r="E95" t="str">
            <v>102802</v>
          </cell>
          <cell r="F95" t="str">
            <v>기본카테고리 &gt; 가공식품 &gt; 음료/파우더/시럽 &gt; 탄산음료/기타음료</v>
          </cell>
          <cell r="G95" t="str">
            <v>2023-08-18 13:27:21</v>
          </cell>
          <cell r="H95" t="str">
            <v/>
          </cell>
          <cell r="I95" t="str">
            <v>Y</v>
          </cell>
          <cell r="J95" t="str">
            <v>Y</v>
          </cell>
          <cell r="K95" t="str">
            <v>N</v>
          </cell>
          <cell r="L95" t="str">
            <v>할인율</v>
          </cell>
          <cell r="M95">
            <v>0</v>
          </cell>
          <cell r="N95" t="str">
            <v>Y</v>
          </cell>
          <cell r="O95" t="str">
            <v>해당없음</v>
          </cell>
          <cell r="P95" t="str">
            <v/>
          </cell>
          <cell r="Q95" t="str">
            <v>N</v>
          </cell>
          <cell r="R95">
            <v>625275</v>
          </cell>
        </row>
        <row r="96">
          <cell r="A96">
            <v>317573</v>
          </cell>
          <cell r="B96" t="str">
            <v>칠성사이다 (업소용) 슬림캔 245ml 30캔</v>
          </cell>
          <cell r="C96" t="str">
            <v>101042</v>
          </cell>
          <cell r="D96" t="str">
            <v>식품 &gt; 생수/음료/커피 &gt; 음료 &gt; 탄산음료 &gt; 사이다</v>
          </cell>
          <cell r="E96" t="str">
            <v>102802</v>
          </cell>
          <cell r="F96" t="str">
            <v>기본카테고리 &gt; 가공식품 &gt; 음료/파우더/시럽 &gt; 탄산음료/기타음료</v>
          </cell>
          <cell r="G96" t="str">
            <v>2023-08-18 13:27:21</v>
          </cell>
          <cell r="H96" t="str">
            <v/>
          </cell>
          <cell r="I96" t="str">
            <v>Y</v>
          </cell>
          <cell r="J96" t="str">
            <v>Y</v>
          </cell>
          <cell r="K96" t="str">
            <v>N</v>
          </cell>
          <cell r="L96" t="str">
            <v>할인율</v>
          </cell>
          <cell r="M96">
            <v>0</v>
          </cell>
          <cell r="N96" t="str">
            <v>Y</v>
          </cell>
          <cell r="O96" t="str">
            <v>해당없음</v>
          </cell>
          <cell r="P96" t="str">
            <v/>
          </cell>
          <cell r="Q96" t="str">
            <v>N</v>
          </cell>
          <cell r="R96">
            <v>625274</v>
          </cell>
        </row>
        <row r="97">
          <cell r="A97">
            <v>317572</v>
          </cell>
          <cell r="B97" t="str">
            <v>해태 갈아만든배 사이다 355ml 24개</v>
          </cell>
          <cell r="C97" t="str">
            <v>115210</v>
          </cell>
          <cell r="D97" t="str">
            <v>식품 &gt; 생수/음료/커피 &gt; 음료 &gt; 과일/야채음료</v>
          </cell>
          <cell r="E97" t="str">
            <v>102802</v>
          </cell>
          <cell r="F97" t="str">
            <v>기본카테고리 &gt; 가공식품 &gt; 음료/파우더/시럽 &gt; 탄산음료/기타음료</v>
          </cell>
          <cell r="G97" t="str">
            <v>2023-08-18 13:27:21</v>
          </cell>
          <cell r="H97" t="str">
            <v/>
          </cell>
          <cell r="I97" t="str">
            <v>Y</v>
          </cell>
          <cell r="J97" t="str">
            <v>Y</v>
          </cell>
          <cell r="K97" t="str">
            <v>N</v>
          </cell>
          <cell r="L97" t="str">
            <v>할인율</v>
          </cell>
          <cell r="M97">
            <v>0</v>
          </cell>
          <cell r="N97" t="str">
            <v>Y</v>
          </cell>
          <cell r="O97" t="str">
            <v>해당없음</v>
          </cell>
          <cell r="P97" t="str">
            <v/>
          </cell>
          <cell r="Q97" t="str">
            <v>N</v>
          </cell>
          <cell r="R97">
            <v>625273</v>
          </cell>
        </row>
        <row r="98">
          <cell r="A98">
            <v>317570</v>
          </cell>
          <cell r="B98" t="str">
            <v>동원 보성홍차 아이스티 제로 복숭아맛 500ml 24개</v>
          </cell>
          <cell r="C98" t="str">
            <v>101035</v>
          </cell>
          <cell r="D98" t="str">
            <v>식품 &gt; 생수/음료/커피 &gt; 음료 &gt; 아이스티음료</v>
          </cell>
          <cell r="E98" t="str">
            <v>102802</v>
          </cell>
          <cell r="F98" t="str">
            <v>기본카테고리 &gt; 가공식품 &gt; 음료/파우더/시럽 &gt; 탄산음료/기타음료</v>
          </cell>
          <cell r="G98" t="str">
            <v>2023-08-18 13:27:21</v>
          </cell>
          <cell r="H98" t="str">
            <v/>
          </cell>
          <cell r="I98" t="str">
            <v>Y</v>
          </cell>
          <cell r="J98" t="str">
            <v>Y</v>
          </cell>
          <cell r="K98" t="str">
            <v>N</v>
          </cell>
          <cell r="L98" t="str">
            <v>할인율</v>
          </cell>
          <cell r="M98">
            <v>0</v>
          </cell>
          <cell r="N98" t="str">
            <v>Y</v>
          </cell>
          <cell r="O98" t="str">
            <v>해당없음</v>
          </cell>
          <cell r="P98" t="str">
            <v/>
          </cell>
          <cell r="Q98" t="str">
            <v>N</v>
          </cell>
          <cell r="R98">
            <v>625271</v>
          </cell>
        </row>
        <row r="99">
          <cell r="A99">
            <v>317569</v>
          </cell>
          <cell r="B99" t="str">
            <v>동원 보성홍차 아이스티 제로 레몬맛 500ml 24개</v>
          </cell>
          <cell r="C99" t="str">
            <v>101035</v>
          </cell>
          <cell r="D99" t="str">
            <v>식품 &gt; 생수/음료/커피 &gt; 음료 &gt; 아이스티음료</v>
          </cell>
          <cell r="E99" t="str">
            <v>102802</v>
          </cell>
          <cell r="F99" t="str">
            <v>기본카테고리 &gt; 가공식품 &gt; 음료/파우더/시럽 &gt; 탄산음료/기타음료</v>
          </cell>
          <cell r="G99" t="str">
            <v>2023-08-18 13:27:21</v>
          </cell>
          <cell r="H99" t="str">
            <v/>
          </cell>
          <cell r="I99" t="str">
            <v>Y</v>
          </cell>
          <cell r="J99" t="str">
            <v>Y</v>
          </cell>
          <cell r="K99" t="str">
            <v>N</v>
          </cell>
          <cell r="L99" t="str">
            <v>할인율</v>
          </cell>
          <cell r="M99">
            <v>0</v>
          </cell>
          <cell r="N99" t="str">
            <v>Y</v>
          </cell>
          <cell r="O99" t="str">
            <v>해당없음</v>
          </cell>
          <cell r="P99" t="str">
            <v/>
          </cell>
          <cell r="Q99" t="str">
            <v>N</v>
          </cell>
          <cell r="R99">
            <v>625270</v>
          </cell>
        </row>
        <row r="100">
          <cell r="A100">
            <v>317568</v>
          </cell>
          <cell r="B100" t="str">
            <v>진로 토닉워터 제로 300ml 24개</v>
          </cell>
          <cell r="C100" t="str">
            <v>101045</v>
          </cell>
          <cell r="D100" t="str">
            <v>식품 &gt; 생수/음료/커피 &gt; 음료 &gt; 탄산음료 &gt; 기타탄산음료</v>
          </cell>
          <cell r="E100" t="str">
            <v>102802</v>
          </cell>
          <cell r="F100" t="str">
            <v>기본카테고리 &gt; 가공식품 &gt; 음료/파우더/시럽 &gt; 탄산음료/기타음료</v>
          </cell>
          <cell r="G100" t="str">
            <v>2023-08-18 13:27:21</v>
          </cell>
          <cell r="H100" t="str">
            <v/>
          </cell>
          <cell r="I100" t="str">
            <v>Y</v>
          </cell>
          <cell r="J100" t="str">
            <v>Y</v>
          </cell>
          <cell r="K100" t="str">
            <v>N</v>
          </cell>
          <cell r="L100" t="str">
            <v>할인율</v>
          </cell>
          <cell r="M100">
            <v>0</v>
          </cell>
          <cell r="N100" t="str">
            <v>Y</v>
          </cell>
          <cell r="O100" t="str">
            <v>해당없음</v>
          </cell>
          <cell r="P100" t="str">
            <v/>
          </cell>
          <cell r="Q100" t="str">
            <v>N</v>
          </cell>
          <cell r="R100">
            <v>625269</v>
          </cell>
        </row>
        <row r="101">
          <cell r="A101">
            <v>317567</v>
          </cell>
          <cell r="B101" t="str">
            <v>데미소다 레몬 250ml 30캔</v>
          </cell>
          <cell r="C101" t="str">
            <v>101045</v>
          </cell>
          <cell r="D101" t="str">
            <v>식품 &gt; 생수/음료/커피 &gt; 음료 &gt; 탄산음료 &gt; 기타탄산음료</v>
          </cell>
          <cell r="E101" t="str">
            <v>102802</v>
          </cell>
          <cell r="F101" t="str">
            <v>기본카테고리 &gt; 가공식품 &gt; 음료/파우더/시럽 &gt; 탄산음료/기타음료</v>
          </cell>
          <cell r="G101" t="str">
            <v>2023-08-18 13:27:21</v>
          </cell>
          <cell r="H101" t="str">
            <v/>
          </cell>
          <cell r="I101" t="str">
            <v>Y</v>
          </cell>
          <cell r="J101" t="str">
            <v>Y</v>
          </cell>
          <cell r="K101" t="str">
            <v>N</v>
          </cell>
          <cell r="L101" t="str">
            <v>할인율</v>
          </cell>
          <cell r="M101">
            <v>0</v>
          </cell>
          <cell r="N101" t="str">
            <v>Y</v>
          </cell>
          <cell r="O101" t="str">
            <v>해당없음</v>
          </cell>
          <cell r="P101" t="str">
            <v/>
          </cell>
          <cell r="Q101" t="str">
            <v>N</v>
          </cell>
          <cell r="R101">
            <v>625268</v>
          </cell>
        </row>
        <row r="102">
          <cell r="A102">
            <v>317565</v>
          </cell>
          <cell r="B102" t="str">
            <v>몬스터에너지 파이프라인펀치 (핑크) 355ml 24개</v>
          </cell>
          <cell r="C102" t="str">
            <v>101024</v>
          </cell>
          <cell r="D102" t="str">
            <v>식품 &gt; 생수/음료/커피 &gt; 음료 &gt; 건강/기능성음료 &gt; 에너지음료</v>
          </cell>
          <cell r="E102" t="str">
            <v>102802</v>
          </cell>
          <cell r="F102" t="str">
            <v>기본카테고리 &gt; 가공식품 &gt; 음료/파우더/시럽 &gt; 탄산음료/기타음료</v>
          </cell>
          <cell r="G102" t="str">
            <v>2023-08-18 13:27:21</v>
          </cell>
          <cell r="H102" t="str">
            <v/>
          </cell>
          <cell r="I102" t="str">
            <v>Y</v>
          </cell>
          <cell r="J102" t="str">
            <v>Y</v>
          </cell>
          <cell r="K102" t="str">
            <v>N</v>
          </cell>
          <cell r="L102" t="str">
            <v>할인율</v>
          </cell>
          <cell r="M102">
            <v>0</v>
          </cell>
          <cell r="N102" t="str">
            <v>Y</v>
          </cell>
          <cell r="O102" t="str">
            <v>해당없음</v>
          </cell>
          <cell r="P102" t="str">
            <v/>
          </cell>
          <cell r="Q102" t="str">
            <v>N</v>
          </cell>
          <cell r="R102">
            <v>625266</v>
          </cell>
        </row>
        <row r="103">
          <cell r="A103">
            <v>317564</v>
          </cell>
          <cell r="B103" t="str">
            <v>몬스터에너지 제로슈가 355ml 24개</v>
          </cell>
          <cell r="C103" t="str">
            <v>101024</v>
          </cell>
          <cell r="D103" t="str">
            <v>식품 &gt; 생수/음료/커피 &gt; 음료 &gt; 건강/기능성음료 &gt; 에너지음료</v>
          </cell>
          <cell r="E103" t="str">
            <v>102802</v>
          </cell>
          <cell r="F103" t="str">
            <v>기본카테고리 &gt; 가공식품 &gt; 음료/파우더/시럽 &gt; 탄산음료/기타음료</v>
          </cell>
          <cell r="G103" t="str">
            <v>2023-08-18 13:27:21</v>
          </cell>
          <cell r="H103" t="str">
            <v/>
          </cell>
          <cell r="I103" t="str">
            <v>Y</v>
          </cell>
          <cell r="J103" t="str">
            <v>Y</v>
          </cell>
          <cell r="K103" t="str">
            <v>N</v>
          </cell>
          <cell r="L103" t="str">
            <v>할인율</v>
          </cell>
          <cell r="M103">
            <v>0</v>
          </cell>
          <cell r="N103" t="str">
            <v>Y</v>
          </cell>
          <cell r="O103" t="str">
            <v>해당없음</v>
          </cell>
          <cell r="P103" t="str">
            <v/>
          </cell>
          <cell r="Q103" t="str">
            <v>N</v>
          </cell>
          <cell r="R103">
            <v>625265</v>
          </cell>
        </row>
        <row r="104">
          <cell r="A104">
            <v>293711</v>
          </cell>
          <cell r="B104" t="str">
            <v>동서 리치스 파인애플 슬라이스 3kg 5개</v>
          </cell>
          <cell r="C104" t="str">
            <v>100573</v>
          </cell>
          <cell r="D104" t="str">
            <v>식품 &gt; 상온가공식품 &gt; 캔/통조림 &gt; 기타과일통조림</v>
          </cell>
          <cell r="E104" t="str">
            <v>102851</v>
          </cell>
          <cell r="F104" t="str">
            <v>기본카테고리 &gt; 가공식품 &gt; 캔/통조림 &gt; 돈육통조림/스팸</v>
          </cell>
          <cell r="G104" t="str">
            <v>2023-07-12 11:47:15</v>
          </cell>
          <cell r="H104" t="str">
            <v/>
          </cell>
          <cell r="I104" t="str">
            <v>Y</v>
          </cell>
          <cell r="J104" t="str">
            <v>Y</v>
          </cell>
          <cell r="K104" t="str">
            <v>N</v>
          </cell>
          <cell r="L104" t="str">
            <v>할인율</v>
          </cell>
          <cell r="M104">
            <v>0</v>
          </cell>
          <cell r="N104" t="str">
            <v>Y</v>
          </cell>
          <cell r="O104" t="str">
            <v>해당없음</v>
          </cell>
          <cell r="P104" t="str">
            <v/>
          </cell>
          <cell r="Q104" t="str">
            <v>N</v>
          </cell>
          <cell r="R104">
            <v>568699</v>
          </cell>
        </row>
        <row r="105">
          <cell r="A105">
            <v>293701</v>
          </cell>
          <cell r="B105" t="str">
            <v>동서 리치스 후르츠칵테일 3kg 5개</v>
          </cell>
          <cell r="C105" t="str">
            <v>100573</v>
          </cell>
          <cell r="D105" t="str">
            <v>식품 &gt; 상온가공식품 &gt; 캔/통조림 &gt; 기타과일통조림</v>
          </cell>
          <cell r="E105" t="str">
            <v>102851</v>
          </cell>
          <cell r="F105" t="str">
            <v>기본카테고리 &gt; 가공식품 &gt; 캔/통조림 &gt; 돈육통조림/스팸</v>
          </cell>
          <cell r="G105" t="str">
            <v>2023-07-12 11:47:15</v>
          </cell>
          <cell r="H105" t="str">
            <v/>
          </cell>
          <cell r="I105" t="str">
            <v>Y</v>
          </cell>
          <cell r="J105" t="str">
            <v>Y</v>
          </cell>
          <cell r="K105" t="str">
            <v>N</v>
          </cell>
          <cell r="L105" t="str">
            <v>할인율</v>
          </cell>
          <cell r="M105">
            <v>0</v>
          </cell>
          <cell r="N105" t="str">
            <v>Y</v>
          </cell>
          <cell r="O105" t="str">
            <v>해당없음</v>
          </cell>
          <cell r="P105" t="str">
            <v/>
          </cell>
          <cell r="Q105" t="str">
            <v>N</v>
          </cell>
          <cell r="R105">
            <v>568689</v>
          </cell>
        </row>
        <row r="106">
          <cell r="A106">
            <v>251196</v>
          </cell>
          <cell r="B106" t="str">
            <v>동서 리치스 홀커널 스위트콘 덕용 2950g 5개</v>
          </cell>
          <cell r="C106" t="str">
            <v>100585</v>
          </cell>
          <cell r="D106" t="str">
            <v>식품 &gt; 상온가공식품 &gt; 캔/통조림 &gt; 옥수수통조림</v>
          </cell>
          <cell r="E106" t="str">
            <v>102849</v>
          </cell>
          <cell r="F106" t="str">
            <v>기본카테고리 &gt; 가공식품 &gt; 캔/통조림 &gt; 과일/농산/기타</v>
          </cell>
          <cell r="G106" t="str">
            <v>2023-06-09 18:14:10</v>
          </cell>
          <cell r="H106" t="str">
            <v/>
          </cell>
          <cell r="I106" t="str">
            <v>Y</v>
          </cell>
          <cell r="J106" t="str">
            <v>Y</v>
          </cell>
          <cell r="K106" t="str">
            <v>N</v>
          </cell>
          <cell r="L106" t="str">
            <v>할인율</v>
          </cell>
          <cell r="M106">
            <v>0</v>
          </cell>
          <cell r="N106" t="str">
            <v>Y</v>
          </cell>
          <cell r="O106" t="str">
            <v>해당없음</v>
          </cell>
          <cell r="P106" t="str">
            <v>해당없음</v>
          </cell>
          <cell r="Q106" t="str">
            <v>N</v>
          </cell>
          <cell r="R106">
            <v>513395</v>
          </cell>
        </row>
        <row r="107">
          <cell r="A107">
            <v>250041</v>
          </cell>
          <cell r="B107" t="str">
            <v>코카콜라 355ml(업소용) 24개</v>
          </cell>
          <cell r="C107" t="str">
            <v>101044</v>
          </cell>
          <cell r="D107" t="str">
            <v>식품 &gt; 생수/음료/커피 &gt; 음료 &gt; 탄산음료 &gt; 콜라</v>
          </cell>
          <cell r="E107" t="str">
            <v>102802</v>
          </cell>
          <cell r="F107" t="str">
            <v>기본카테고리 &gt; 가공식품 &gt; 음료/파우더/시럽 &gt; 탄산음료/기타음료</v>
          </cell>
          <cell r="G107" t="str">
            <v>2023-06-07 17:27:01</v>
          </cell>
          <cell r="H107" t="str">
            <v/>
          </cell>
          <cell r="I107" t="str">
            <v>Y</v>
          </cell>
          <cell r="J107" t="str">
            <v>Y</v>
          </cell>
          <cell r="K107" t="str">
            <v>N</v>
          </cell>
          <cell r="L107" t="str">
            <v>할인율</v>
          </cell>
          <cell r="M107">
            <v>0</v>
          </cell>
          <cell r="N107" t="str">
            <v>Y</v>
          </cell>
          <cell r="O107" t="str">
            <v>해당없음</v>
          </cell>
          <cell r="P107" t="str">
            <v/>
          </cell>
          <cell r="Q107" t="str">
            <v>N</v>
          </cell>
          <cell r="R107">
            <v>510773</v>
          </cell>
        </row>
        <row r="108">
          <cell r="A108">
            <v>250032</v>
          </cell>
          <cell r="B108" t="str">
            <v>CJ 스팸 클래식 1.81kg 6개</v>
          </cell>
          <cell r="C108" t="str">
            <v>100582</v>
          </cell>
          <cell r="D108" t="str">
            <v>식품 &gt; 상온가공식품 &gt; 캔/통조림 &gt; 스팸/햄통조림</v>
          </cell>
          <cell r="E108" t="str">
            <v>102851</v>
          </cell>
          <cell r="F108" t="str">
            <v>기본카테고리 &gt; 가공식품 &gt; 캔/통조림 &gt; 돈육통조림/스팸</v>
          </cell>
          <cell r="G108" t="str">
            <v>2023-06-07 17:17:08</v>
          </cell>
          <cell r="H108" t="str">
            <v/>
          </cell>
          <cell r="I108" t="str">
            <v>Y</v>
          </cell>
          <cell r="J108" t="str">
            <v>Y</v>
          </cell>
          <cell r="K108" t="str">
            <v>N</v>
          </cell>
          <cell r="L108" t="str">
            <v>할인율</v>
          </cell>
          <cell r="M108">
            <v>0</v>
          </cell>
          <cell r="N108" t="str">
            <v>Y</v>
          </cell>
          <cell r="O108" t="str">
            <v>해당없음</v>
          </cell>
          <cell r="P108" t="str">
            <v/>
          </cell>
          <cell r="Q108" t="str">
            <v>N</v>
          </cell>
          <cell r="R108">
            <v>510725</v>
          </cell>
        </row>
        <row r="109">
          <cell r="A109">
            <v>250030</v>
          </cell>
          <cell r="B109" t="str">
            <v>롯데 런천미트 340g 24개</v>
          </cell>
          <cell r="C109" t="str">
            <v>100582</v>
          </cell>
          <cell r="D109" t="str">
            <v>식품 &gt; 상온가공식품 &gt; 캔/통조림 &gt; 스팸/햄통조림</v>
          </cell>
          <cell r="E109" t="str">
            <v>102851</v>
          </cell>
          <cell r="F109" t="str">
            <v>기본카테고리 &gt; 가공식품 &gt; 캔/통조림 &gt; 돈육통조림/스팸</v>
          </cell>
          <cell r="G109" t="str">
            <v>2023-06-07 17:17:08</v>
          </cell>
          <cell r="H109" t="str">
            <v/>
          </cell>
          <cell r="I109" t="str">
            <v>Y</v>
          </cell>
          <cell r="J109" t="str">
            <v>Y</v>
          </cell>
          <cell r="K109" t="str">
            <v>N</v>
          </cell>
          <cell r="L109" t="str">
            <v>할인율</v>
          </cell>
          <cell r="M109">
            <v>0</v>
          </cell>
          <cell r="N109" t="str">
            <v>Y</v>
          </cell>
          <cell r="O109" t="str">
            <v>해당없음</v>
          </cell>
          <cell r="P109" t="str">
            <v/>
          </cell>
          <cell r="Q109" t="str">
            <v>N</v>
          </cell>
          <cell r="R109">
            <v>510723</v>
          </cell>
        </row>
        <row r="110">
          <cell r="A110">
            <v>250022</v>
          </cell>
          <cell r="B110" t="str">
            <v>롯데칠성 칸타타 스위트 아메리카노 275ml 24개</v>
          </cell>
          <cell r="C110" t="str">
            <v>101060</v>
          </cell>
          <cell r="D110" t="str">
            <v>식품 &gt; 생수/음료/커피 &gt; 커피 &gt; 커피음료</v>
          </cell>
          <cell r="E110" t="str">
            <v>102801</v>
          </cell>
          <cell r="F110" t="str">
            <v>기본카테고리 &gt; 가공식품 &gt; 음료/파우더/시럽 &gt; 커피/원두</v>
          </cell>
          <cell r="G110" t="str">
            <v>2023-06-07 17:17:08</v>
          </cell>
          <cell r="H110" t="str">
            <v/>
          </cell>
          <cell r="I110" t="str">
            <v>Y</v>
          </cell>
          <cell r="J110" t="str">
            <v>Y</v>
          </cell>
          <cell r="K110" t="str">
            <v>N</v>
          </cell>
          <cell r="L110" t="str">
            <v>할인율</v>
          </cell>
          <cell r="M110">
            <v>0</v>
          </cell>
          <cell r="N110" t="str">
            <v>Y</v>
          </cell>
          <cell r="O110" t="str">
            <v>해당없음</v>
          </cell>
          <cell r="P110" t="str">
            <v/>
          </cell>
          <cell r="Q110" t="str">
            <v>N</v>
          </cell>
          <cell r="R110">
            <v>510715</v>
          </cell>
        </row>
        <row r="111">
          <cell r="A111">
            <v>250019</v>
          </cell>
          <cell r="B111" t="str">
            <v>조지아 오리지날 캔커피 175ml 30개</v>
          </cell>
          <cell r="C111" t="str">
            <v>101060</v>
          </cell>
          <cell r="D111" t="str">
            <v>식품 &gt; 생수/음료/커피 &gt; 커피 &gt; 커피음료</v>
          </cell>
          <cell r="E111" t="str">
            <v>102801</v>
          </cell>
          <cell r="F111" t="str">
            <v>기본카테고리 &gt; 가공식품 &gt; 음료/파우더/시럽 &gt; 커피/원두</v>
          </cell>
          <cell r="G111" t="str">
            <v>2023-06-07 17:17:08</v>
          </cell>
          <cell r="H111" t="str">
            <v/>
          </cell>
          <cell r="I111" t="str">
            <v>Y</v>
          </cell>
          <cell r="J111" t="str">
            <v>Y</v>
          </cell>
          <cell r="K111" t="str">
            <v>N</v>
          </cell>
          <cell r="L111" t="str">
            <v>할인율</v>
          </cell>
          <cell r="M111">
            <v>0</v>
          </cell>
          <cell r="N111" t="str">
            <v>Y</v>
          </cell>
          <cell r="O111" t="str">
            <v>해당없음</v>
          </cell>
          <cell r="P111" t="str">
            <v/>
          </cell>
          <cell r="Q111" t="str">
            <v>N</v>
          </cell>
          <cell r="R111">
            <v>510712</v>
          </cell>
        </row>
        <row r="112">
          <cell r="A112">
            <v>250018</v>
          </cell>
          <cell r="B112" t="str">
            <v>코카콜라 조지아 오리지날240ml 30개</v>
          </cell>
          <cell r="C112" t="str">
            <v>101060</v>
          </cell>
          <cell r="D112" t="str">
            <v>식품 &gt; 생수/음료/커피 &gt; 커피 &gt; 커피음료</v>
          </cell>
          <cell r="E112" t="str">
            <v>102801</v>
          </cell>
          <cell r="F112" t="str">
            <v>기본카테고리 &gt; 가공식품 &gt; 음료/파우더/시럽 &gt; 커피/원두</v>
          </cell>
          <cell r="G112" t="str">
            <v>2023-06-07 17:17:08</v>
          </cell>
          <cell r="H112" t="str">
            <v/>
          </cell>
          <cell r="I112" t="str">
            <v>Y</v>
          </cell>
          <cell r="J112" t="str">
            <v>Y</v>
          </cell>
          <cell r="K112" t="str">
            <v>N</v>
          </cell>
          <cell r="L112" t="str">
            <v>할인율</v>
          </cell>
          <cell r="M112">
            <v>0</v>
          </cell>
          <cell r="N112" t="str">
            <v>Y</v>
          </cell>
          <cell r="O112" t="str">
            <v>해당없음</v>
          </cell>
          <cell r="P112" t="str">
            <v/>
          </cell>
          <cell r="Q112" t="str">
            <v>N</v>
          </cell>
          <cell r="R112">
            <v>510711</v>
          </cell>
        </row>
        <row r="113">
          <cell r="A113">
            <v>250017</v>
          </cell>
          <cell r="B113" t="str">
            <v>레쓰비 마일드 커피 175ml 30캔</v>
          </cell>
          <cell r="C113" t="str">
            <v>101060</v>
          </cell>
          <cell r="D113" t="str">
            <v>식품 &gt; 생수/음료/커피 &gt; 커피 &gt; 커피음료</v>
          </cell>
          <cell r="E113" t="str">
            <v>102801</v>
          </cell>
          <cell r="F113" t="str">
            <v>기본카테고리 &gt; 가공식품 &gt; 음료/파우더/시럽 &gt; 커피/원두</v>
          </cell>
          <cell r="G113" t="str">
            <v>2023-06-07 17:17:08</v>
          </cell>
          <cell r="H113" t="str">
            <v/>
          </cell>
          <cell r="I113" t="str">
            <v>Y</v>
          </cell>
          <cell r="J113" t="str">
            <v>Y</v>
          </cell>
          <cell r="K113" t="str">
            <v>N</v>
          </cell>
          <cell r="L113" t="str">
            <v>할인율</v>
          </cell>
          <cell r="M113">
            <v>0</v>
          </cell>
          <cell r="N113" t="str">
            <v>Y</v>
          </cell>
          <cell r="O113" t="str">
            <v>해당없음</v>
          </cell>
          <cell r="P113" t="str">
            <v/>
          </cell>
          <cell r="Q113" t="str">
            <v>N</v>
          </cell>
          <cell r="R113">
            <v>510710</v>
          </cell>
        </row>
        <row r="114">
          <cell r="A114">
            <v>250016</v>
          </cell>
          <cell r="B114" t="str">
            <v>롯데칠성 칸타타 프리미엄 라떼 275ml 24개</v>
          </cell>
          <cell r="C114" t="str">
            <v>101060</v>
          </cell>
          <cell r="D114" t="str">
            <v>식품 &gt; 생수/음료/커피 &gt; 커피 &gt; 커피음료</v>
          </cell>
          <cell r="E114" t="str">
            <v>102801</v>
          </cell>
          <cell r="F114" t="str">
            <v>기본카테고리 &gt; 가공식품 &gt; 음료/파우더/시럽 &gt; 커피/원두</v>
          </cell>
          <cell r="G114" t="str">
            <v>2023-06-07 17:17:08</v>
          </cell>
          <cell r="H114" t="str">
            <v/>
          </cell>
          <cell r="I114" t="str">
            <v>Y</v>
          </cell>
          <cell r="J114" t="str">
            <v>Y</v>
          </cell>
          <cell r="K114" t="str">
            <v>N</v>
          </cell>
          <cell r="L114" t="str">
            <v>할인율</v>
          </cell>
          <cell r="M114">
            <v>0</v>
          </cell>
          <cell r="N114" t="str">
            <v>Y</v>
          </cell>
          <cell r="O114" t="str">
            <v>해당없음</v>
          </cell>
          <cell r="P114" t="str">
            <v/>
          </cell>
          <cell r="Q114" t="str">
            <v>N</v>
          </cell>
          <cell r="R114">
            <v>510709</v>
          </cell>
        </row>
        <row r="115">
          <cell r="A115">
            <v>250015</v>
          </cell>
          <cell r="B115" t="str">
            <v>스타벅스 더블샷 에스프레소크림 200ml 36개</v>
          </cell>
          <cell r="C115" t="str">
            <v>101060</v>
          </cell>
          <cell r="D115" t="str">
            <v>식품 &gt; 생수/음료/커피 &gt; 커피 &gt; 커피음료</v>
          </cell>
          <cell r="E115" t="str">
            <v>102801</v>
          </cell>
          <cell r="F115" t="str">
            <v>기본카테고리 &gt; 가공식품 &gt; 음료/파우더/시럽 &gt; 커피/원두</v>
          </cell>
          <cell r="G115" t="str">
            <v>2023-06-07 17:17:08</v>
          </cell>
          <cell r="H115" t="str">
            <v/>
          </cell>
          <cell r="I115" t="str">
            <v>Y</v>
          </cell>
          <cell r="J115" t="str">
            <v>Y</v>
          </cell>
          <cell r="K115" t="str">
            <v>N</v>
          </cell>
          <cell r="L115" t="str">
            <v>할인율</v>
          </cell>
          <cell r="M115">
            <v>0</v>
          </cell>
          <cell r="N115" t="str">
            <v>Y</v>
          </cell>
          <cell r="O115" t="str">
            <v>해당없음</v>
          </cell>
          <cell r="P115" t="str">
            <v/>
          </cell>
          <cell r="Q115" t="str">
            <v>N</v>
          </cell>
          <cell r="R115">
            <v>510708</v>
          </cell>
        </row>
        <row r="116">
          <cell r="A116">
            <v>250013</v>
          </cell>
          <cell r="B116" t="str">
            <v>조지아 카페라떼 240ml 30개</v>
          </cell>
          <cell r="C116" t="str">
            <v>101060</v>
          </cell>
          <cell r="D116" t="str">
            <v>식품 &gt; 생수/음료/커피 &gt; 커피 &gt; 커피음료</v>
          </cell>
          <cell r="E116" t="str">
            <v>102801</v>
          </cell>
          <cell r="F116" t="str">
            <v>기본카테고리 &gt; 가공식품 &gt; 음료/파우더/시럽 &gt; 커피/원두</v>
          </cell>
          <cell r="G116" t="str">
            <v>2023-06-07 17:17:08</v>
          </cell>
          <cell r="H116" t="str">
            <v/>
          </cell>
          <cell r="I116" t="str">
            <v>Y</v>
          </cell>
          <cell r="J116" t="str">
            <v>Y</v>
          </cell>
          <cell r="K116" t="str">
            <v>N</v>
          </cell>
          <cell r="L116" t="str">
            <v>할인율</v>
          </cell>
          <cell r="M116">
            <v>0</v>
          </cell>
          <cell r="N116" t="str">
            <v>Y</v>
          </cell>
          <cell r="O116" t="str">
            <v>해당없음</v>
          </cell>
          <cell r="P116" t="str">
            <v/>
          </cell>
          <cell r="Q116" t="str">
            <v>N</v>
          </cell>
          <cell r="R116">
            <v>510706</v>
          </cell>
        </row>
        <row r="117">
          <cell r="A117">
            <v>250007</v>
          </cell>
          <cell r="B117" t="str">
            <v>롯데칠성 칸타타 콜드브루 블랙 275ml 24개</v>
          </cell>
          <cell r="C117" t="str">
            <v>101060</v>
          </cell>
          <cell r="D117" t="str">
            <v>식품 &gt; 생수/음료/커피 &gt; 커피 &gt; 커피음료</v>
          </cell>
          <cell r="E117" t="str">
            <v>102801</v>
          </cell>
          <cell r="F117" t="str">
            <v>기본카테고리 &gt; 가공식품 &gt; 음료/파우더/시럽 &gt; 커피/원두</v>
          </cell>
          <cell r="G117" t="str">
            <v>2023-06-07 17:17:08</v>
          </cell>
          <cell r="H117" t="str">
            <v/>
          </cell>
          <cell r="I117" t="str">
            <v>Y</v>
          </cell>
          <cell r="J117" t="str">
            <v>Y</v>
          </cell>
          <cell r="K117" t="str">
            <v>N</v>
          </cell>
          <cell r="L117" t="str">
            <v>할인율</v>
          </cell>
          <cell r="M117">
            <v>0</v>
          </cell>
          <cell r="N117" t="str">
            <v>Y</v>
          </cell>
          <cell r="O117" t="str">
            <v>해당없음</v>
          </cell>
          <cell r="P117" t="str">
            <v/>
          </cell>
          <cell r="Q117" t="str">
            <v>N</v>
          </cell>
          <cell r="R117">
            <v>510700</v>
          </cell>
        </row>
        <row r="118">
          <cell r="A118">
            <v>250001</v>
          </cell>
          <cell r="B118" t="str">
            <v>롯데칠성 칸타타 카라멜 마키아토 275ml 24개</v>
          </cell>
          <cell r="C118" t="str">
            <v>101060</v>
          </cell>
          <cell r="D118" t="str">
            <v>식품 &gt; 생수/음료/커피 &gt; 커피 &gt; 커피음료</v>
          </cell>
          <cell r="E118" t="str">
            <v>102801</v>
          </cell>
          <cell r="F118" t="str">
            <v>기본카테고리 &gt; 가공식품 &gt; 음료/파우더/시럽 &gt; 커피/원두</v>
          </cell>
          <cell r="G118" t="str">
            <v>2023-06-07 17:17:08</v>
          </cell>
          <cell r="H118" t="str">
            <v/>
          </cell>
          <cell r="I118" t="str">
            <v>Y</v>
          </cell>
          <cell r="J118" t="str">
            <v>Y</v>
          </cell>
          <cell r="K118" t="str">
            <v>N</v>
          </cell>
          <cell r="L118" t="str">
            <v>할인율</v>
          </cell>
          <cell r="M118">
            <v>0</v>
          </cell>
          <cell r="N118" t="str">
            <v>Y</v>
          </cell>
          <cell r="O118" t="str">
            <v>해당없음</v>
          </cell>
          <cell r="P118" t="str">
            <v/>
          </cell>
          <cell r="Q118" t="str">
            <v>N</v>
          </cell>
          <cell r="R118">
            <v>510694</v>
          </cell>
        </row>
        <row r="119">
          <cell r="A119">
            <v>250000</v>
          </cell>
          <cell r="B119" t="str">
            <v>롯데 칸타타 프리미엄라떼 175ml 30개</v>
          </cell>
          <cell r="C119" t="str">
            <v>101060</v>
          </cell>
          <cell r="D119" t="str">
            <v>식품 &gt; 생수/음료/커피 &gt; 커피 &gt; 커피음료</v>
          </cell>
          <cell r="E119" t="str">
            <v>102801</v>
          </cell>
          <cell r="F119" t="str">
            <v>기본카테고리 &gt; 가공식품 &gt; 음료/파우더/시럽 &gt; 커피/원두</v>
          </cell>
          <cell r="G119" t="str">
            <v>2023-06-07 17:17:08</v>
          </cell>
          <cell r="H119" t="str">
            <v/>
          </cell>
          <cell r="I119" t="str">
            <v>Y</v>
          </cell>
          <cell r="J119" t="str">
            <v>Y</v>
          </cell>
          <cell r="K119" t="str">
            <v>N</v>
          </cell>
          <cell r="L119" t="str">
            <v>할인율</v>
          </cell>
          <cell r="M119">
            <v>0</v>
          </cell>
          <cell r="N119" t="str">
            <v>Y</v>
          </cell>
          <cell r="O119" t="str">
            <v>해당없음</v>
          </cell>
          <cell r="P119" t="str">
            <v/>
          </cell>
          <cell r="Q119" t="str">
            <v>N</v>
          </cell>
          <cell r="R119">
            <v>510693</v>
          </cell>
        </row>
        <row r="120">
          <cell r="A120">
            <v>249998</v>
          </cell>
          <cell r="B120" t="str">
            <v>레쓰비 업소용 캔커피 175ml 30개</v>
          </cell>
          <cell r="C120" t="str">
            <v>101060</v>
          </cell>
          <cell r="D120" t="str">
            <v>식품 &gt; 생수/음료/커피 &gt; 커피 &gt; 커피음료</v>
          </cell>
          <cell r="E120" t="str">
            <v>102801</v>
          </cell>
          <cell r="F120" t="str">
            <v>기본카테고리 &gt; 가공식품 &gt; 음료/파우더/시럽 &gt; 커피/원두</v>
          </cell>
          <cell r="G120" t="str">
            <v>2023-06-07 17:17:08</v>
          </cell>
          <cell r="H120" t="str">
            <v/>
          </cell>
          <cell r="I120" t="str">
            <v>Y</v>
          </cell>
          <cell r="J120" t="str">
            <v>Y</v>
          </cell>
          <cell r="K120" t="str">
            <v>N</v>
          </cell>
          <cell r="L120" t="str">
            <v>할인율</v>
          </cell>
          <cell r="M120">
            <v>0</v>
          </cell>
          <cell r="N120" t="str">
            <v>Y</v>
          </cell>
          <cell r="O120" t="str">
            <v>해당없음</v>
          </cell>
          <cell r="P120" t="str">
            <v/>
          </cell>
          <cell r="Q120" t="str">
            <v>N</v>
          </cell>
          <cell r="R120">
            <v>510691</v>
          </cell>
        </row>
        <row r="121">
          <cell r="A121">
            <v>249997</v>
          </cell>
          <cell r="B121" t="str">
            <v>칸타타 스위트 아메리카노 175ml 30개</v>
          </cell>
          <cell r="C121" t="str">
            <v>101060</v>
          </cell>
          <cell r="D121" t="str">
            <v>식품 &gt; 생수/음료/커피 &gt; 커피 &gt; 커피음료</v>
          </cell>
          <cell r="E121" t="str">
            <v>102801</v>
          </cell>
          <cell r="F121" t="str">
            <v>기본카테고리 &gt; 가공식품 &gt; 음료/파우더/시럽 &gt; 커피/원두</v>
          </cell>
          <cell r="G121" t="str">
            <v>2023-06-07 17:17:08</v>
          </cell>
          <cell r="H121" t="str">
            <v/>
          </cell>
          <cell r="I121" t="str">
            <v>Y</v>
          </cell>
          <cell r="J121" t="str">
            <v>Y</v>
          </cell>
          <cell r="K121" t="str">
            <v>N</v>
          </cell>
          <cell r="L121" t="str">
            <v>할인율</v>
          </cell>
          <cell r="M121">
            <v>0</v>
          </cell>
          <cell r="N121" t="str">
            <v>Y</v>
          </cell>
          <cell r="O121" t="str">
            <v>해당없음</v>
          </cell>
          <cell r="P121" t="str">
            <v/>
          </cell>
          <cell r="Q121" t="str">
            <v>N</v>
          </cell>
          <cell r="R121">
            <v>510690</v>
          </cell>
        </row>
        <row r="122">
          <cell r="A122">
            <v>249996</v>
          </cell>
          <cell r="B122" t="str">
            <v>동서 스타벅스 프라푸치노 모카 281ml 16개</v>
          </cell>
          <cell r="C122" t="str">
            <v>101060</v>
          </cell>
          <cell r="D122" t="str">
            <v>식품 &gt; 생수/음료/커피 &gt; 커피 &gt; 커피음료</v>
          </cell>
          <cell r="E122" t="str">
            <v>102801</v>
          </cell>
          <cell r="F122" t="str">
            <v>기본카테고리 &gt; 가공식품 &gt; 음료/파우더/시럽 &gt; 커피/원두</v>
          </cell>
          <cell r="G122" t="str">
            <v>2023-06-07 17:17:08</v>
          </cell>
          <cell r="H122" t="str">
            <v/>
          </cell>
          <cell r="I122" t="str">
            <v>Y</v>
          </cell>
          <cell r="J122" t="str">
            <v>Y</v>
          </cell>
          <cell r="K122" t="str">
            <v>N</v>
          </cell>
          <cell r="L122" t="str">
            <v>할인율</v>
          </cell>
          <cell r="M122">
            <v>0</v>
          </cell>
          <cell r="N122" t="str">
            <v>Y</v>
          </cell>
          <cell r="O122" t="str">
            <v>해당없음</v>
          </cell>
          <cell r="P122" t="str">
            <v/>
          </cell>
          <cell r="Q122" t="str">
            <v>N</v>
          </cell>
          <cell r="R122">
            <v>510689</v>
          </cell>
        </row>
        <row r="123">
          <cell r="A123">
            <v>249992</v>
          </cell>
          <cell r="B123" t="str">
            <v>매일 카페라떼마일드 로어슈거 220ml 10개</v>
          </cell>
          <cell r="C123" t="str">
            <v>101060</v>
          </cell>
          <cell r="D123" t="str">
            <v>식품 &gt; 생수/음료/커피 &gt; 커피 &gt; 커피음료</v>
          </cell>
          <cell r="E123" t="str">
            <v>102801</v>
          </cell>
          <cell r="F123" t="str">
            <v>기본카테고리 &gt; 가공식품 &gt; 음료/파우더/시럽 &gt; 커피/원두</v>
          </cell>
          <cell r="G123" t="str">
            <v>2023-06-07 17:17:08</v>
          </cell>
          <cell r="H123" t="str">
            <v/>
          </cell>
          <cell r="I123" t="str">
            <v>Y</v>
          </cell>
          <cell r="J123" t="str">
            <v>Y</v>
          </cell>
          <cell r="K123" t="str">
            <v>N</v>
          </cell>
          <cell r="L123" t="str">
            <v>할인율</v>
          </cell>
          <cell r="M123">
            <v>0</v>
          </cell>
          <cell r="N123" t="str">
            <v>Y</v>
          </cell>
          <cell r="O123" t="str">
            <v>해당없음</v>
          </cell>
          <cell r="P123" t="str">
            <v/>
          </cell>
          <cell r="Q123" t="str">
            <v>N</v>
          </cell>
          <cell r="R123">
            <v>510685</v>
          </cell>
        </row>
        <row r="124">
          <cell r="A124">
            <v>249991</v>
          </cell>
          <cell r="B124" t="str">
            <v>매일 카페라떼 카라멜 마끼아또 220ml 10개</v>
          </cell>
          <cell r="C124" t="str">
            <v>101060</v>
          </cell>
          <cell r="D124" t="str">
            <v>식품 &gt; 생수/음료/커피 &gt; 커피 &gt; 커피음료</v>
          </cell>
          <cell r="E124" t="str">
            <v>102801</v>
          </cell>
          <cell r="F124" t="str">
            <v>기본카테고리 &gt; 가공식품 &gt; 음료/파우더/시럽 &gt; 커피/원두</v>
          </cell>
          <cell r="G124" t="str">
            <v>2023-06-07 17:17:08</v>
          </cell>
          <cell r="H124" t="str">
            <v/>
          </cell>
          <cell r="I124" t="str">
            <v>Y</v>
          </cell>
          <cell r="J124" t="str">
            <v>Y</v>
          </cell>
          <cell r="K124" t="str">
            <v>N</v>
          </cell>
          <cell r="L124" t="str">
            <v>할인율</v>
          </cell>
          <cell r="M124">
            <v>0</v>
          </cell>
          <cell r="N124" t="str">
            <v>Y</v>
          </cell>
          <cell r="O124" t="str">
            <v>해당없음</v>
          </cell>
          <cell r="P124" t="str">
            <v/>
          </cell>
          <cell r="Q124" t="str">
            <v>N</v>
          </cell>
          <cell r="R124">
            <v>510684</v>
          </cell>
        </row>
        <row r="125">
          <cell r="A125">
            <v>249990</v>
          </cell>
          <cell r="B125" t="str">
            <v>매일 카페라떼마일드 220ml 10개</v>
          </cell>
          <cell r="C125" t="str">
            <v>101060</v>
          </cell>
          <cell r="D125" t="str">
            <v>식품 &gt; 생수/음료/커피 &gt; 커피 &gt; 커피음료</v>
          </cell>
          <cell r="E125" t="str">
            <v>102801</v>
          </cell>
          <cell r="F125" t="str">
            <v>기본카테고리 &gt; 가공식품 &gt; 음료/파우더/시럽 &gt; 커피/원두</v>
          </cell>
          <cell r="G125" t="str">
            <v>2023-06-07 17:17:08</v>
          </cell>
          <cell r="H125" t="str">
            <v/>
          </cell>
          <cell r="I125" t="str">
            <v>Y</v>
          </cell>
          <cell r="J125" t="str">
            <v>Y</v>
          </cell>
          <cell r="K125" t="str">
            <v>N</v>
          </cell>
          <cell r="L125" t="str">
            <v>할인율</v>
          </cell>
          <cell r="M125">
            <v>0</v>
          </cell>
          <cell r="N125" t="str">
            <v>Y</v>
          </cell>
          <cell r="O125" t="str">
            <v>해당없음</v>
          </cell>
          <cell r="P125" t="str">
            <v/>
          </cell>
          <cell r="Q125" t="str">
            <v>N</v>
          </cell>
          <cell r="R125">
            <v>510683</v>
          </cell>
        </row>
        <row r="126">
          <cell r="A126">
            <v>249989</v>
          </cell>
          <cell r="B126" t="str">
            <v>몽베스트 스파클링 라임 500ml 24개</v>
          </cell>
          <cell r="C126" t="str">
            <v>101045</v>
          </cell>
          <cell r="D126" t="str">
            <v>식품 &gt; 생수/음료/커피 &gt; 음료 &gt; 탄산음료 &gt; 기타탄산음료</v>
          </cell>
          <cell r="E126" t="str">
            <v>102802</v>
          </cell>
          <cell r="F126" t="str">
            <v>기본카테고리 &gt; 가공식품 &gt; 음료/파우더/시럽 &gt; 탄산음료/기타음료</v>
          </cell>
          <cell r="G126" t="str">
            <v>2023-06-07 17:17:08</v>
          </cell>
          <cell r="H126" t="str">
            <v/>
          </cell>
          <cell r="I126" t="str">
            <v>Y</v>
          </cell>
          <cell r="J126" t="str">
            <v>Y</v>
          </cell>
          <cell r="K126" t="str">
            <v>N</v>
          </cell>
          <cell r="L126" t="str">
            <v>할인율</v>
          </cell>
          <cell r="M126">
            <v>0</v>
          </cell>
          <cell r="N126" t="str">
            <v>Y</v>
          </cell>
          <cell r="O126" t="str">
            <v>해당없음</v>
          </cell>
          <cell r="P126" t="str">
            <v/>
          </cell>
          <cell r="Q126" t="str">
            <v>N</v>
          </cell>
          <cell r="R126">
            <v>510682</v>
          </cell>
        </row>
        <row r="127">
          <cell r="A127">
            <v>249988</v>
          </cell>
          <cell r="B127" t="str">
            <v>블랙보리 520ml 20개</v>
          </cell>
          <cell r="C127" t="str">
            <v>101032</v>
          </cell>
          <cell r="D127" t="str">
            <v>식품 &gt; 생수/음료/커피 &gt; 음료 &gt; 전통/차음료 &gt; 보리차음료</v>
          </cell>
          <cell r="E127" t="str">
            <v>102802</v>
          </cell>
          <cell r="F127" t="str">
            <v>기본카테고리 &gt; 가공식품 &gt; 음료/파우더/시럽 &gt; 탄산음료/기타음료</v>
          </cell>
          <cell r="G127" t="str">
            <v>2023-06-07 17:17:08</v>
          </cell>
          <cell r="H127" t="str">
            <v/>
          </cell>
          <cell r="I127" t="str">
            <v>Y</v>
          </cell>
          <cell r="J127" t="str">
            <v>Y</v>
          </cell>
          <cell r="K127" t="str">
            <v>N</v>
          </cell>
          <cell r="L127" t="str">
            <v>할인율</v>
          </cell>
          <cell r="M127">
            <v>0</v>
          </cell>
          <cell r="N127" t="str">
            <v>Y</v>
          </cell>
          <cell r="O127" t="str">
            <v>해당없음</v>
          </cell>
          <cell r="P127" t="str">
            <v/>
          </cell>
          <cell r="Q127" t="str">
            <v>N</v>
          </cell>
          <cell r="R127">
            <v>510681</v>
          </cell>
        </row>
        <row r="128">
          <cell r="A128">
            <v>249987</v>
          </cell>
          <cell r="B128" t="str">
            <v>롯데칠성 사이다 500ml (업소용) 20개</v>
          </cell>
          <cell r="C128" t="str">
            <v>101042</v>
          </cell>
          <cell r="D128" t="str">
            <v>식품 &gt; 생수/음료/커피 &gt; 음료 &gt; 탄산음료 &gt; 사이다</v>
          </cell>
          <cell r="E128" t="str">
            <v>102802</v>
          </cell>
          <cell r="F128" t="str">
            <v>기본카테고리 &gt; 가공식품 &gt; 음료/파우더/시럽 &gt; 탄산음료/기타음료</v>
          </cell>
          <cell r="G128" t="str">
            <v>2023-06-07 17:17:08</v>
          </cell>
          <cell r="H128" t="str">
            <v/>
          </cell>
          <cell r="I128" t="str">
            <v>Y</v>
          </cell>
          <cell r="J128" t="str">
            <v>Y</v>
          </cell>
          <cell r="K128" t="str">
            <v>N</v>
          </cell>
          <cell r="L128" t="str">
            <v>할인율</v>
          </cell>
          <cell r="M128">
            <v>0</v>
          </cell>
          <cell r="N128" t="str">
            <v>Y</v>
          </cell>
          <cell r="O128" t="str">
            <v>해당없음</v>
          </cell>
          <cell r="P128" t="str">
            <v/>
          </cell>
          <cell r="Q128" t="str">
            <v>N</v>
          </cell>
          <cell r="R128">
            <v>510680</v>
          </cell>
        </row>
        <row r="129">
          <cell r="A129">
            <v>249986</v>
          </cell>
          <cell r="B129" t="str">
            <v>광동제약 남 헛개차 500ml 20개</v>
          </cell>
          <cell r="C129" t="str">
            <v>101038</v>
          </cell>
          <cell r="D129" t="str">
            <v>식품 &gt; 생수/음료/커피 &gt; 음료 &gt; 전통/차음료 &gt; 헛개수차음료</v>
          </cell>
          <cell r="E129" t="str">
            <v>102802</v>
          </cell>
          <cell r="F129" t="str">
            <v>기본카테고리 &gt; 가공식품 &gt; 음료/파우더/시럽 &gt; 탄산음료/기타음료</v>
          </cell>
          <cell r="G129" t="str">
            <v>2023-06-07 17:17:08</v>
          </cell>
          <cell r="H129" t="str">
            <v/>
          </cell>
          <cell r="I129" t="str">
            <v>Y</v>
          </cell>
          <cell r="J129" t="str">
            <v>Y</v>
          </cell>
          <cell r="K129" t="str">
            <v>N</v>
          </cell>
          <cell r="L129" t="str">
            <v>할인율</v>
          </cell>
          <cell r="M129">
            <v>0</v>
          </cell>
          <cell r="N129" t="str">
            <v>Y</v>
          </cell>
          <cell r="O129" t="str">
            <v>해당없음</v>
          </cell>
          <cell r="P129" t="str">
            <v/>
          </cell>
          <cell r="Q129" t="str">
            <v>N</v>
          </cell>
          <cell r="R129">
            <v>510679</v>
          </cell>
        </row>
        <row r="130">
          <cell r="A130">
            <v>249985</v>
          </cell>
          <cell r="B130" t="str">
            <v>농심 웰치스 청포도 355ml 24개</v>
          </cell>
          <cell r="C130" t="str">
            <v>101045</v>
          </cell>
          <cell r="D130" t="str">
            <v>식품 &gt; 생수/음료/커피 &gt; 음료 &gt; 탄산음료 &gt; 기타탄산음료</v>
          </cell>
          <cell r="E130" t="str">
            <v>102802</v>
          </cell>
          <cell r="F130" t="str">
            <v>기본카테고리 &gt; 가공식품 &gt; 음료/파우더/시럽 &gt; 탄산음료/기타음료</v>
          </cell>
          <cell r="G130" t="str">
            <v>2023-06-07 17:17:08</v>
          </cell>
          <cell r="H130" t="str">
            <v/>
          </cell>
          <cell r="I130" t="str">
            <v>Y</v>
          </cell>
          <cell r="J130" t="str">
            <v>Y</v>
          </cell>
          <cell r="K130" t="str">
            <v>N</v>
          </cell>
          <cell r="L130" t="str">
            <v>할인율</v>
          </cell>
          <cell r="M130">
            <v>0</v>
          </cell>
          <cell r="N130" t="str">
            <v>Y</v>
          </cell>
          <cell r="O130" t="str">
            <v>해당없음</v>
          </cell>
          <cell r="P130" t="str">
            <v/>
          </cell>
          <cell r="Q130" t="str">
            <v>N</v>
          </cell>
          <cell r="R130">
            <v>510678</v>
          </cell>
        </row>
        <row r="131">
          <cell r="A131">
            <v>249983</v>
          </cell>
          <cell r="B131" t="str">
            <v>코카콜라 500ml (업소용) 24개</v>
          </cell>
          <cell r="C131" t="str">
            <v>101044</v>
          </cell>
          <cell r="D131" t="str">
            <v>식품 &gt; 생수/음료/커피 &gt; 음료 &gt; 탄산음료 &gt; 콜라</v>
          </cell>
          <cell r="E131" t="str">
            <v>102802</v>
          </cell>
          <cell r="F131" t="str">
            <v>기본카테고리 &gt; 가공식품 &gt; 음료/파우더/시럽 &gt; 탄산음료/기타음료</v>
          </cell>
          <cell r="G131" t="str">
            <v>2023-06-07 17:17:08</v>
          </cell>
          <cell r="H131" t="str">
            <v/>
          </cell>
          <cell r="I131" t="str">
            <v>Y</v>
          </cell>
          <cell r="J131" t="str">
            <v>Y</v>
          </cell>
          <cell r="K131" t="str">
            <v>N</v>
          </cell>
          <cell r="L131" t="str">
            <v>할인율</v>
          </cell>
          <cell r="M131">
            <v>0</v>
          </cell>
          <cell r="N131" t="str">
            <v>Y</v>
          </cell>
          <cell r="O131" t="str">
            <v>해당없음</v>
          </cell>
          <cell r="P131" t="str">
            <v/>
          </cell>
          <cell r="Q131" t="str">
            <v>N</v>
          </cell>
          <cell r="R131">
            <v>510676</v>
          </cell>
        </row>
        <row r="132">
          <cell r="A132">
            <v>249982</v>
          </cell>
          <cell r="B132" t="str">
            <v>코카콜라 1.25L(업소용) 12개</v>
          </cell>
          <cell r="C132" t="str">
            <v>101045</v>
          </cell>
          <cell r="D132" t="str">
            <v>식품 &gt; 생수/음료/커피 &gt; 음료 &gt; 탄산음료 &gt; 기타탄산음료</v>
          </cell>
          <cell r="E132" t="str">
            <v>102802</v>
          </cell>
          <cell r="F132" t="str">
            <v>기본카테고리 &gt; 가공식품 &gt; 음료/파우더/시럽 &gt; 탄산음료/기타음료</v>
          </cell>
          <cell r="G132" t="str">
            <v>2023-06-07 17:17:08</v>
          </cell>
          <cell r="H132" t="str">
            <v/>
          </cell>
          <cell r="I132" t="str">
            <v>Y</v>
          </cell>
          <cell r="J132" t="str">
            <v>Y</v>
          </cell>
          <cell r="K132" t="str">
            <v>N</v>
          </cell>
          <cell r="L132" t="str">
            <v>할인율</v>
          </cell>
          <cell r="M132">
            <v>0</v>
          </cell>
          <cell r="N132" t="str">
            <v>Y</v>
          </cell>
          <cell r="O132" t="str">
            <v>해당없음</v>
          </cell>
          <cell r="P132" t="str">
            <v/>
          </cell>
          <cell r="Q132" t="str">
            <v>N</v>
          </cell>
          <cell r="R132">
            <v>510675</v>
          </cell>
        </row>
        <row r="133">
          <cell r="A133">
            <v>249981</v>
          </cell>
          <cell r="B133" t="str">
            <v>스프라이트 캔 355ml 24개 (업소용)</v>
          </cell>
          <cell r="C133" t="str">
            <v>101045</v>
          </cell>
          <cell r="D133" t="str">
            <v>식품 &gt; 생수/음료/커피 &gt; 음료 &gt; 탄산음료 &gt; 기타탄산음료</v>
          </cell>
          <cell r="E133" t="str">
            <v>102802</v>
          </cell>
          <cell r="F133" t="str">
            <v>기본카테고리 &gt; 가공식품 &gt; 음료/파우더/시럽 &gt; 탄산음료/기타음료</v>
          </cell>
          <cell r="G133" t="str">
            <v>2023-06-07 17:17:08</v>
          </cell>
          <cell r="H133" t="str">
            <v/>
          </cell>
          <cell r="I133" t="str">
            <v>Y</v>
          </cell>
          <cell r="J133" t="str">
            <v>Y</v>
          </cell>
          <cell r="K133" t="str">
            <v>N</v>
          </cell>
          <cell r="L133" t="str">
            <v>할인율</v>
          </cell>
          <cell r="M133">
            <v>0</v>
          </cell>
          <cell r="N133" t="str">
            <v>Y</v>
          </cell>
          <cell r="O133" t="str">
            <v>해당없음</v>
          </cell>
          <cell r="P133" t="str">
            <v/>
          </cell>
          <cell r="Q133" t="str">
            <v>N</v>
          </cell>
          <cell r="R133">
            <v>510674</v>
          </cell>
        </row>
        <row r="134">
          <cell r="A134">
            <v>249980</v>
          </cell>
          <cell r="B134" t="str">
            <v>동아 오란씨 오렌지 1.5L 12개</v>
          </cell>
          <cell r="C134" t="str">
            <v>101045</v>
          </cell>
          <cell r="D134" t="str">
            <v>식품 &gt; 생수/음료/커피 &gt; 음료 &gt; 탄산음료 &gt; 기타탄산음료</v>
          </cell>
          <cell r="E134" t="str">
            <v>102802</v>
          </cell>
          <cell r="F134" t="str">
            <v>기본카테고리 &gt; 가공식품 &gt; 음료/파우더/시럽 &gt; 탄산음료/기타음료</v>
          </cell>
          <cell r="G134" t="str">
            <v>2023-06-07 17:17:08</v>
          </cell>
          <cell r="H134" t="str">
            <v/>
          </cell>
          <cell r="I134" t="str">
            <v>Y</v>
          </cell>
          <cell r="J134" t="str">
            <v>Y</v>
          </cell>
          <cell r="K134" t="str">
            <v>N</v>
          </cell>
          <cell r="L134" t="str">
            <v>할인율</v>
          </cell>
          <cell r="M134">
            <v>0</v>
          </cell>
          <cell r="N134" t="str">
            <v>Y</v>
          </cell>
          <cell r="O134" t="str">
            <v>해당없음</v>
          </cell>
          <cell r="P134" t="str">
            <v/>
          </cell>
          <cell r="Q134" t="str">
            <v>N</v>
          </cell>
          <cell r="R134">
            <v>510673</v>
          </cell>
        </row>
        <row r="135">
          <cell r="A135">
            <v>249978</v>
          </cell>
          <cell r="B135" t="str">
            <v>스프라이트 1.5L(업소용) 12개</v>
          </cell>
          <cell r="C135" t="str">
            <v>101042</v>
          </cell>
          <cell r="D135" t="str">
            <v>식품 &gt; 생수/음료/커피 &gt; 음료 &gt; 탄산음료 &gt; 사이다</v>
          </cell>
          <cell r="E135" t="str">
            <v>102802</v>
          </cell>
          <cell r="F135" t="str">
            <v>기본카테고리 &gt; 가공식품 &gt; 음료/파우더/시럽 &gt; 탄산음료/기타음료</v>
          </cell>
          <cell r="G135" t="str">
            <v>2023-06-07 17:17:08</v>
          </cell>
          <cell r="H135" t="str">
            <v/>
          </cell>
          <cell r="I135" t="str">
            <v>Y</v>
          </cell>
          <cell r="J135" t="str">
            <v>Y</v>
          </cell>
          <cell r="K135" t="str">
            <v>N</v>
          </cell>
          <cell r="L135" t="str">
            <v>할인율</v>
          </cell>
          <cell r="M135">
            <v>0</v>
          </cell>
          <cell r="N135" t="str">
            <v>Y</v>
          </cell>
          <cell r="O135" t="str">
            <v>해당없음</v>
          </cell>
          <cell r="P135" t="str">
            <v/>
          </cell>
          <cell r="Q135" t="str">
            <v>N</v>
          </cell>
          <cell r="R135">
            <v>510671</v>
          </cell>
        </row>
        <row r="136">
          <cell r="A136">
            <v>249977</v>
          </cell>
          <cell r="B136" t="str">
            <v>코카콜라 190ml 30개</v>
          </cell>
          <cell r="C136" t="str">
            <v>101045</v>
          </cell>
          <cell r="D136" t="str">
            <v>식품 &gt; 생수/음료/커피 &gt; 음료 &gt; 탄산음료 &gt; 기타탄산음료</v>
          </cell>
          <cell r="E136" t="str">
            <v>102802</v>
          </cell>
          <cell r="F136" t="str">
            <v>기본카테고리 &gt; 가공식품 &gt; 음료/파우더/시럽 &gt; 탄산음료/기타음료</v>
          </cell>
          <cell r="G136" t="str">
            <v>2023-06-07 17:17:08</v>
          </cell>
          <cell r="H136" t="str">
            <v/>
          </cell>
          <cell r="I136" t="str">
            <v>Y</v>
          </cell>
          <cell r="J136" t="str">
            <v>Y</v>
          </cell>
          <cell r="K136" t="str">
            <v>N</v>
          </cell>
          <cell r="L136" t="str">
            <v>할인율</v>
          </cell>
          <cell r="M136">
            <v>0</v>
          </cell>
          <cell r="N136" t="str">
            <v>Y</v>
          </cell>
          <cell r="O136" t="str">
            <v>해당없음</v>
          </cell>
          <cell r="P136" t="str">
            <v/>
          </cell>
          <cell r="Q136" t="str">
            <v>N</v>
          </cell>
          <cell r="R136">
            <v>510670</v>
          </cell>
        </row>
        <row r="137">
          <cell r="A137">
            <v>249976</v>
          </cell>
          <cell r="B137" t="str">
            <v>일화 맥콜 250ml 30개</v>
          </cell>
          <cell r="C137" t="str">
            <v>101045</v>
          </cell>
          <cell r="D137" t="str">
            <v>식품 &gt; 생수/음료/커피 &gt; 음료 &gt; 탄산음료 &gt; 기타탄산음료</v>
          </cell>
          <cell r="E137" t="str">
            <v>102802</v>
          </cell>
          <cell r="F137" t="str">
            <v>기본카테고리 &gt; 가공식품 &gt; 음료/파우더/시럽 &gt; 탄산음료/기타음료</v>
          </cell>
          <cell r="G137" t="str">
            <v>2023-06-07 17:17:08</v>
          </cell>
          <cell r="H137" t="str">
            <v/>
          </cell>
          <cell r="I137" t="str">
            <v>Y</v>
          </cell>
          <cell r="J137" t="str">
            <v>Y</v>
          </cell>
          <cell r="K137" t="str">
            <v>N</v>
          </cell>
          <cell r="L137" t="str">
            <v>할인율</v>
          </cell>
          <cell r="M137">
            <v>0</v>
          </cell>
          <cell r="N137" t="str">
            <v>Y</v>
          </cell>
          <cell r="O137" t="str">
            <v>해당없음</v>
          </cell>
          <cell r="P137" t="str">
            <v/>
          </cell>
          <cell r="Q137" t="str">
            <v>N</v>
          </cell>
          <cell r="R137">
            <v>510669</v>
          </cell>
        </row>
        <row r="138">
          <cell r="A138">
            <v>249975</v>
          </cell>
          <cell r="B138" t="str">
            <v>펩시콜라 500ML 20개</v>
          </cell>
          <cell r="C138" t="str">
            <v>101044</v>
          </cell>
          <cell r="D138" t="str">
            <v>식품 &gt; 생수/음료/커피 &gt; 음료 &gt; 탄산음료 &gt; 콜라</v>
          </cell>
          <cell r="E138" t="str">
            <v>102802</v>
          </cell>
          <cell r="F138" t="str">
            <v>기본카테고리 &gt; 가공식품 &gt; 음료/파우더/시럽 &gt; 탄산음료/기타음료</v>
          </cell>
          <cell r="G138" t="str">
            <v>2023-06-07 17:17:08</v>
          </cell>
          <cell r="H138" t="str">
            <v/>
          </cell>
          <cell r="I138" t="str">
            <v>Y</v>
          </cell>
          <cell r="J138" t="str">
            <v>Y</v>
          </cell>
          <cell r="K138" t="str">
            <v>N</v>
          </cell>
          <cell r="L138" t="str">
            <v>할인율</v>
          </cell>
          <cell r="M138">
            <v>0</v>
          </cell>
          <cell r="N138" t="str">
            <v>Y</v>
          </cell>
          <cell r="O138" t="str">
            <v>해당없음</v>
          </cell>
          <cell r="P138" t="str">
            <v/>
          </cell>
          <cell r="Q138" t="str">
            <v>N</v>
          </cell>
          <cell r="R138">
            <v>510668</v>
          </cell>
        </row>
        <row r="139">
          <cell r="A139">
            <v>249974</v>
          </cell>
          <cell r="B139" t="str">
            <v>해태 레몬에이드 350ml 24개</v>
          </cell>
          <cell r="C139" t="str">
            <v>115210</v>
          </cell>
          <cell r="D139" t="str">
            <v>식품 &gt; 생수/음료/커피 &gt; 음료 &gt; 과일/야채음료</v>
          </cell>
          <cell r="E139" t="str">
            <v>102802</v>
          </cell>
          <cell r="F139" t="str">
            <v>기본카테고리 &gt; 가공식품 &gt; 음료/파우더/시럽 &gt; 탄산음료/기타음료</v>
          </cell>
          <cell r="G139" t="str">
            <v>2023-06-07 17:17:08</v>
          </cell>
          <cell r="H139" t="str">
            <v/>
          </cell>
          <cell r="I139" t="str">
            <v>Y</v>
          </cell>
          <cell r="J139" t="str">
            <v>Y</v>
          </cell>
          <cell r="K139" t="str">
            <v>N</v>
          </cell>
          <cell r="L139" t="str">
            <v>할인율</v>
          </cell>
          <cell r="M139">
            <v>0</v>
          </cell>
          <cell r="N139" t="str">
            <v>Y</v>
          </cell>
          <cell r="O139" t="str">
            <v>해당없음</v>
          </cell>
          <cell r="P139" t="str">
            <v/>
          </cell>
          <cell r="Q139" t="str">
            <v>N</v>
          </cell>
          <cell r="R139">
            <v>510667</v>
          </cell>
        </row>
        <row r="140">
          <cell r="A140">
            <v>249973</v>
          </cell>
          <cell r="B140" t="str">
            <v>광동 옥수수수염차 500ml 20개</v>
          </cell>
          <cell r="C140" t="str">
            <v>101036</v>
          </cell>
          <cell r="D140" t="str">
            <v>식품 &gt; 생수/음료/커피 &gt; 음료 &gt; 전통/차음료 &gt; 옥수수차음료</v>
          </cell>
          <cell r="E140" t="str">
            <v>102802</v>
          </cell>
          <cell r="F140" t="str">
            <v>기본카테고리 &gt; 가공식품 &gt; 음료/파우더/시럽 &gt; 탄산음료/기타음료</v>
          </cell>
          <cell r="G140" t="str">
            <v>2023-06-07 17:17:08</v>
          </cell>
          <cell r="H140" t="str">
            <v/>
          </cell>
          <cell r="I140" t="str">
            <v>Y</v>
          </cell>
          <cell r="J140" t="str">
            <v>Y</v>
          </cell>
          <cell r="K140" t="str">
            <v>N</v>
          </cell>
          <cell r="L140" t="str">
            <v>할인율</v>
          </cell>
          <cell r="M140">
            <v>0</v>
          </cell>
          <cell r="N140" t="str">
            <v>Y</v>
          </cell>
          <cell r="O140" t="str">
            <v>해당없음</v>
          </cell>
          <cell r="P140" t="str">
            <v/>
          </cell>
          <cell r="Q140" t="str">
            <v>N</v>
          </cell>
          <cell r="R140">
            <v>510666</v>
          </cell>
        </row>
        <row r="141">
          <cell r="A141">
            <v>249971</v>
          </cell>
          <cell r="B141" t="str">
            <v>광동 남헛개차 340ml 20개</v>
          </cell>
          <cell r="C141" t="str">
            <v>101038</v>
          </cell>
          <cell r="D141" t="str">
            <v>식품 &gt; 생수/음료/커피 &gt; 음료 &gt; 전통/차음료 &gt; 헛개수차음료</v>
          </cell>
          <cell r="E141" t="str">
            <v>102802</v>
          </cell>
          <cell r="F141" t="str">
            <v>기본카테고리 &gt; 가공식품 &gt; 음료/파우더/시럽 &gt; 탄산음료/기타음료</v>
          </cell>
          <cell r="G141" t="str">
            <v>2023-06-07 17:17:08</v>
          </cell>
          <cell r="H141" t="str">
            <v/>
          </cell>
          <cell r="I141" t="str">
            <v>Y</v>
          </cell>
          <cell r="J141" t="str">
            <v>Y</v>
          </cell>
          <cell r="K141" t="str">
            <v>N</v>
          </cell>
          <cell r="L141" t="str">
            <v>할인율</v>
          </cell>
          <cell r="M141">
            <v>0</v>
          </cell>
          <cell r="N141" t="str">
            <v>Y</v>
          </cell>
          <cell r="O141" t="str">
            <v>해당없음</v>
          </cell>
          <cell r="P141" t="str">
            <v/>
          </cell>
          <cell r="Q141" t="str">
            <v>N</v>
          </cell>
          <cell r="R141">
            <v>510664</v>
          </cell>
        </row>
        <row r="142">
          <cell r="A142">
            <v>249970</v>
          </cell>
          <cell r="B142" t="str">
            <v>웅진 아침햇살 500ml 20개</v>
          </cell>
          <cell r="C142" t="str">
            <v>101040</v>
          </cell>
          <cell r="D142" t="str">
            <v>식품 &gt; 생수/음료/커피 &gt; 음료 &gt; 전통/차음료 &gt; 기타차음료</v>
          </cell>
          <cell r="E142" t="str">
            <v>102802</v>
          </cell>
          <cell r="F142" t="str">
            <v>기본카테고리 &gt; 가공식품 &gt; 음료/파우더/시럽 &gt; 탄산음료/기타음료</v>
          </cell>
          <cell r="G142" t="str">
            <v>2023-06-07 17:17:08</v>
          </cell>
          <cell r="H142" t="str">
            <v/>
          </cell>
          <cell r="I142" t="str">
            <v>Y</v>
          </cell>
          <cell r="J142" t="str">
            <v>Y</v>
          </cell>
          <cell r="K142" t="str">
            <v>N</v>
          </cell>
          <cell r="L142" t="str">
            <v>할인율</v>
          </cell>
          <cell r="M142">
            <v>0</v>
          </cell>
          <cell r="N142" t="str">
            <v>Y</v>
          </cell>
          <cell r="O142" t="str">
            <v>해당없음</v>
          </cell>
          <cell r="P142" t="str">
            <v/>
          </cell>
          <cell r="Q142" t="str">
            <v>N</v>
          </cell>
          <cell r="R142">
            <v>510663</v>
          </cell>
        </row>
        <row r="143">
          <cell r="A143">
            <v>249969</v>
          </cell>
          <cell r="B143" t="str">
            <v>가야 알로에 농장 500ml 20개</v>
          </cell>
          <cell r="C143" t="str">
            <v>115210</v>
          </cell>
          <cell r="D143" t="str">
            <v>식품 &gt; 생수/음료/커피 &gt; 음료 &gt; 과일/야채음료</v>
          </cell>
          <cell r="E143" t="str">
            <v>102802</v>
          </cell>
          <cell r="F143" t="str">
            <v>기본카테고리 &gt; 가공식품 &gt; 음료/파우더/시럽 &gt; 탄산음료/기타음료</v>
          </cell>
          <cell r="G143" t="str">
            <v>2023-06-07 17:17:08</v>
          </cell>
          <cell r="H143" t="str">
            <v/>
          </cell>
          <cell r="I143" t="str">
            <v>Y</v>
          </cell>
          <cell r="J143" t="str">
            <v>Y</v>
          </cell>
          <cell r="K143" t="str">
            <v>N</v>
          </cell>
          <cell r="L143" t="str">
            <v>할인율</v>
          </cell>
          <cell r="M143">
            <v>0</v>
          </cell>
          <cell r="N143" t="str">
            <v>Y</v>
          </cell>
          <cell r="O143" t="str">
            <v>해당없음</v>
          </cell>
          <cell r="P143" t="str">
            <v/>
          </cell>
          <cell r="Q143" t="str">
            <v>N</v>
          </cell>
          <cell r="R143">
            <v>510662</v>
          </cell>
        </row>
        <row r="144">
          <cell r="A144">
            <v>249968</v>
          </cell>
          <cell r="B144" t="str">
            <v>펩시콜라 1.25L  12개입</v>
          </cell>
          <cell r="C144" t="str">
            <v>101044</v>
          </cell>
          <cell r="D144" t="str">
            <v>식품 &gt; 생수/음료/커피 &gt; 음료 &gt; 탄산음료 &gt; 콜라</v>
          </cell>
          <cell r="E144" t="str">
            <v>102802</v>
          </cell>
          <cell r="F144" t="str">
            <v>기본카테고리 &gt; 가공식품 &gt; 음료/파우더/시럽 &gt; 탄산음료/기타음료</v>
          </cell>
          <cell r="G144" t="str">
            <v>2023-06-07 17:17:08</v>
          </cell>
          <cell r="H144" t="str">
            <v/>
          </cell>
          <cell r="I144" t="str">
            <v>Y</v>
          </cell>
          <cell r="J144" t="str">
            <v>Y</v>
          </cell>
          <cell r="K144" t="str">
            <v>N</v>
          </cell>
          <cell r="L144" t="str">
            <v>할인율</v>
          </cell>
          <cell r="M144">
            <v>0</v>
          </cell>
          <cell r="N144" t="str">
            <v>Y</v>
          </cell>
          <cell r="O144" t="str">
            <v>해당없음</v>
          </cell>
          <cell r="P144" t="str">
            <v/>
          </cell>
          <cell r="Q144" t="str">
            <v>N</v>
          </cell>
          <cell r="R144">
            <v>510661</v>
          </cell>
        </row>
        <row r="145">
          <cell r="A145">
            <v>249967</v>
          </cell>
          <cell r="B145" t="str">
            <v>해태 코코팜피치핑크 240ml 30캔</v>
          </cell>
          <cell r="C145" t="str">
            <v>101045</v>
          </cell>
          <cell r="D145" t="str">
            <v>식품 &gt; 생수/음료/커피 &gt; 음료 &gt; 탄산음료 &gt; 기타탄산음료</v>
          </cell>
          <cell r="E145" t="str">
            <v>102802</v>
          </cell>
          <cell r="F145" t="str">
            <v>기본카테고리 &gt; 가공식품 &gt; 음료/파우더/시럽 &gt; 탄산음료/기타음료</v>
          </cell>
          <cell r="G145" t="str">
            <v>2023-06-07 17:17:08</v>
          </cell>
          <cell r="H145" t="str">
            <v/>
          </cell>
          <cell r="I145" t="str">
            <v>Y</v>
          </cell>
          <cell r="J145" t="str">
            <v>Y</v>
          </cell>
          <cell r="K145" t="str">
            <v>N</v>
          </cell>
          <cell r="L145" t="str">
            <v>할인율</v>
          </cell>
          <cell r="M145">
            <v>0</v>
          </cell>
          <cell r="N145" t="str">
            <v>Y</v>
          </cell>
          <cell r="O145" t="str">
            <v>해당없음</v>
          </cell>
          <cell r="P145" t="str">
            <v/>
          </cell>
          <cell r="Q145" t="str">
            <v>N</v>
          </cell>
          <cell r="R145">
            <v>510660</v>
          </cell>
        </row>
        <row r="146">
          <cell r="A146">
            <v>249965</v>
          </cell>
          <cell r="B146" t="str">
            <v>일화 초정 탄산수 250ml 30개</v>
          </cell>
          <cell r="C146" t="str">
            <v>100979</v>
          </cell>
          <cell r="D146" t="str">
            <v>식품 &gt; 생수/음료/커피 &gt; 생수/탄산수 &gt; 탄산수</v>
          </cell>
          <cell r="E146" t="str">
            <v>102802</v>
          </cell>
          <cell r="F146" t="str">
            <v>기본카테고리 &gt; 가공식품 &gt; 음료/파우더/시럽 &gt; 탄산음료/기타음료</v>
          </cell>
          <cell r="G146" t="str">
            <v>2023-06-07 17:17:08</v>
          </cell>
          <cell r="H146" t="str">
            <v/>
          </cell>
          <cell r="I146" t="str">
            <v>Y</v>
          </cell>
          <cell r="J146" t="str">
            <v>Y</v>
          </cell>
          <cell r="K146" t="str">
            <v>N</v>
          </cell>
          <cell r="L146" t="str">
            <v>할인율</v>
          </cell>
          <cell r="M146">
            <v>0</v>
          </cell>
          <cell r="N146" t="str">
            <v>Y</v>
          </cell>
          <cell r="O146" t="str">
            <v>해당없음</v>
          </cell>
          <cell r="P146" t="str">
            <v/>
          </cell>
          <cell r="Q146" t="str">
            <v>N</v>
          </cell>
          <cell r="R146">
            <v>510658</v>
          </cell>
        </row>
        <row r="147">
          <cell r="A147">
            <v>249964</v>
          </cell>
          <cell r="B147" t="str">
            <v>데미소다 애플 250ml 30개</v>
          </cell>
          <cell r="C147" t="str">
            <v>101045</v>
          </cell>
          <cell r="D147" t="str">
            <v>식품 &gt; 생수/음료/커피 &gt; 음료 &gt; 탄산음료 &gt; 기타탄산음료</v>
          </cell>
          <cell r="E147" t="str">
            <v>102802</v>
          </cell>
          <cell r="F147" t="str">
            <v>기본카테고리 &gt; 가공식품 &gt; 음료/파우더/시럽 &gt; 탄산음료/기타음료</v>
          </cell>
          <cell r="G147" t="str">
            <v>2023-06-07 17:17:08</v>
          </cell>
          <cell r="H147" t="str">
            <v/>
          </cell>
          <cell r="I147" t="str">
            <v>Y</v>
          </cell>
          <cell r="J147" t="str">
            <v>Y</v>
          </cell>
          <cell r="K147" t="str">
            <v>N</v>
          </cell>
          <cell r="L147" t="str">
            <v>할인율</v>
          </cell>
          <cell r="M147">
            <v>0</v>
          </cell>
          <cell r="N147" t="str">
            <v>Y</v>
          </cell>
          <cell r="O147" t="str">
            <v>해당없음</v>
          </cell>
          <cell r="P147" t="str">
            <v/>
          </cell>
          <cell r="Q147" t="str">
            <v>N</v>
          </cell>
          <cell r="R147">
            <v>510657</v>
          </cell>
        </row>
        <row r="148">
          <cell r="A148">
            <v>249963</v>
          </cell>
          <cell r="B148" t="str">
            <v>일화 한라봉에이드 350ml 캔 24개</v>
          </cell>
          <cell r="C148" t="str">
            <v>115210</v>
          </cell>
          <cell r="D148" t="str">
            <v>식품 &gt; 생수/음료/커피 &gt; 음료 &gt; 과일/야채음료</v>
          </cell>
          <cell r="E148" t="str">
            <v>102802</v>
          </cell>
          <cell r="F148" t="str">
            <v>기본카테고리 &gt; 가공식품 &gt; 음료/파우더/시럽 &gt; 탄산음료/기타음료</v>
          </cell>
          <cell r="G148" t="str">
            <v>2023-06-07 17:17:08</v>
          </cell>
          <cell r="H148" t="str">
            <v/>
          </cell>
          <cell r="I148" t="str">
            <v>Y</v>
          </cell>
          <cell r="J148" t="str">
            <v>Y</v>
          </cell>
          <cell r="K148" t="str">
            <v>N</v>
          </cell>
          <cell r="L148" t="str">
            <v>할인율</v>
          </cell>
          <cell r="M148">
            <v>0</v>
          </cell>
          <cell r="N148" t="str">
            <v>Y</v>
          </cell>
          <cell r="O148" t="str">
            <v>해당없음</v>
          </cell>
          <cell r="P148" t="str">
            <v/>
          </cell>
          <cell r="Q148" t="str">
            <v>N</v>
          </cell>
          <cell r="R148">
            <v>510656</v>
          </cell>
        </row>
        <row r="149">
          <cell r="A149">
            <v>249962</v>
          </cell>
          <cell r="B149" t="str">
            <v>팔도 뽀로로 보리차 220ml 24개</v>
          </cell>
          <cell r="C149" t="str">
            <v>108158</v>
          </cell>
          <cell r="D149" t="str">
            <v>출산/유아동 &gt; 분유/유아식품 &gt; 영유아식품 &gt; 유아간식/음료 &gt; 유아생수/차 &gt; 아기보리차</v>
          </cell>
          <cell r="E149" t="str">
            <v>102802</v>
          </cell>
          <cell r="F149" t="str">
            <v>기본카테고리 &gt; 가공식품 &gt; 음료/파우더/시럽 &gt; 탄산음료/기타음료</v>
          </cell>
          <cell r="G149" t="str">
            <v>2023-06-07 17:17:08</v>
          </cell>
          <cell r="H149" t="str">
            <v/>
          </cell>
          <cell r="I149" t="str">
            <v>Y</v>
          </cell>
          <cell r="J149" t="str">
            <v>Y</v>
          </cell>
          <cell r="K149" t="str">
            <v>N</v>
          </cell>
          <cell r="L149" t="str">
            <v>할인율</v>
          </cell>
          <cell r="M149">
            <v>0</v>
          </cell>
          <cell r="N149" t="str">
            <v>Y</v>
          </cell>
          <cell r="O149" t="str">
            <v>해당없음</v>
          </cell>
          <cell r="P149" t="str">
            <v/>
          </cell>
          <cell r="Q149" t="str">
            <v>N</v>
          </cell>
          <cell r="R149">
            <v>510655</v>
          </cell>
        </row>
        <row r="150">
          <cell r="A150">
            <v>249961</v>
          </cell>
          <cell r="B150" t="str">
            <v>참맑은 망고 캔 175ml 30개</v>
          </cell>
          <cell r="C150" t="str">
            <v>115210</v>
          </cell>
          <cell r="D150" t="str">
            <v>식품 &gt; 생수/음료/커피 &gt; 음료 &gt; 과일/야채음료</v>
          </cell>
          <cell r="E150" t="str">
            <v>102802</v>
          </cell>
          <cell r="F150" t="str">
            <v>기본카테고리 &gt; 가공식품 &gt; 음료/파우더/시럽 &gt; 탄산음료/기타음료</v>
          </cell>
          <cell r="G150" t="str">
            <v>2023-06-07 17:17:08</v>
          </cell>
          <cell r="H150" t="str">
            <v/>
          </cell>
          <cell r="I150" t="str">
            <v>Y</v>
          </cell>
          <cell r="J150" t="str">
            <v>Y</v>
          </cell>
          <cell r="K150" t="str">
            <v>N</v>
          </cell>
          <cell r="L150" t="str">
            <v>할인율</v>
          </cell>
          <cell r="M150">
            <v>0</v>
          </cell>
          <cell r="N150" t="str">
            <v>Y</v>
          </cell>
          <cell r="O150" t="str">
            <v>해당없음</v>
          </cell>
          <cell r="P150" t="str">
            <v/>
          </cell>
          <cell r="Q150" t="str">
            <v>N</v>
          </cell>
          <cell r="R150">
            <v>510654</v>
          </cell>
        </row>
        <row r="151">
          <cell r="A151">
            <v>249960</v>
          </cell>
          <cell r="B151" t="str">
            <v>이노엔 헛개수 500ml 20개</v>
          </cell>
          <cell r="C151" t="str">
            <v>101038</v>
          </cell>
          <cell r="D151" t="str">
            <v>식품 &gt; 생수/음료/커피 &gt; 음료 &gt; 전통/차음료 &gt; 헛개수차음료</v>
          </cell>
          <cell r="E151" t="str">
            <v>102802</v>
          </cell>
          <cell r="F151" t="str">
            <v>기본카테고리 &gt; 가공식품 &gt; 음료/파우더/시럽 &gt; 탄산음료/기타음료</v>
          </cell>
          <cell r="G151" t="str">
            <v>2023-06-07 17:17:08</v>
          </cell>
          <cell r="H151" t="str">
            <v/>
          </cell>
          <cell r="I151" t="str">
            <v>Y</v>
          </cell>
          <cell r="J151" t="str">
            <v>Y</v>
          </cell>
          <cell r="K151" t="str">
            <v>N</v>
          </cell>
          <cell r="L151" t="str">
            <v>할인율</v>
          </cell>
          <cell r="M151">
            <v>0</v>
          </cell>
          <cell r="N151" t="str">
            <v>Y</v>
          </cell>
          <cell r="O151" t="str">
            <v>해당없음</v>
          </cell>
          <cell r="P151" t="str">
            <v/>
          </cell>
          <cell r="Q151" t="str">
            <v>N</v>
          </cell>
          <cell r="R151">
            <v>510653</v>
          </cell>
        </row>
        <row r="152">
          <cell r="A152">
            <v>249959</v>
          </cell>
          <cell r="B152" t="str">
            <v>일화 목에는 맑은하늘 도라지차 340ml 20개</v>
          </cell>
          <cell r="C152" t="str">
            <v>101040</v>
          </cell>
          <cell r="D152" t="str">
            <v>식품 &gt; 생수/음료/커피 &gt; 음료 &gt; 전통/차음료 &gt; 기타차음료</v>
          </cell>
          <cell r="E152" t="str">
            <v>102802</v>
          </cell>
          <cell r="F152" t="str">
            <v>기본카테고리 &gt; 가공식품 &gt; 음료/파우더/시럽 &gt; 탄산음료/기타음료</v>
          </cell>
          <cell r="G152" t="str">
            <v>2023-06-07 17:17:08</v>
          </cell>
          <cell r="H152" t="str">
            <v/>
          </cell>
          <cell r="I152" t="str">
            <v>Y</v>
          </cell>
          <cell r="J152" t="str">
            <v>Y</v>
          </cell>
          <cell r="K152" t="str">
            <v>N</v>
          </cell>
          <cell r="L152" t="str">
            <v>할인율</v>
          </cell>
          <cell r="M152">
            <v>0</v>
          </cell>
          <cell r="N152" t="str">
            <v>Y</v>
          </cell>
          <cell r="O152" t="str">
            <v>해당없음</v>
          </cell>
          <cell r="P152" t="str">
            <v/>
          </cell>
          <cell r="Q152" t="str">
            <v>N</v>
          </cell>
          <cell r="R152">
            <v>510652</v>
          </cell>
        </row>
        <row r="153">
          <cell r="A153">
            <v>249957</v>
          </cell>
          <cell r="B153" t="str">
            <v>동서 레드불 250ml 24개</v>
          </cell>
          <cell r="C153" t="str">
            <v>101024</v>
          </cell>
          <cell r="D153" t="str">
            <v>식품 &gt; 생수/음료/커피 &gt; 음료 &gt; 건강/기능성음료 &gt; 에너지음료</v>
          </cell>
          <cell r="E153" t="str">
            <v>102802</v>
          </cell>
          <cell r="F153" t="str">
            <v>기본카테고리 &gt; 가공식품 &gt; 음료/파우더/시럽 &gt; 탄산음료/기타음료</v>
          </cell>
          <cell r="G153" t="str">
            <v>2023-06-07 17:17:08</v>
          </cell>
          <cell r="H153" t="str">
            <v/>
          </cell>
          <cell r="I153" t="str">
            <v>Y</v>
          </cell>
          <cell r="J153" t="str">
            <v>Y</v>
          </cell>
          <cell r="K153" t="str">
            <v>N</v>
          </cell>
          <cell r="L153" t="str">
            <v>할인율</v>
          </cell>
          <cell r="M153">
            <v>0</v>
          </cell>
          <cell r="N153" t="str">
            <v>Y</v>
          </cell>
          <cell r="O153" t="str">
            <v>해당없음</v>
          </cell>
          <cell r="P153" t="str">
            <v/>
          </cell>
          <cell r="Q153" t="str">
            <v>N</v>
          </cell>
          <cell r="R153">
            <v>510650</v>
          </cell>
        </row>
        <row r="154">
          <cell r="A154">
            <v>249956</v>
          </cell>
          <cell r="B154" t="str">
            <v>동아 나랑드사이다 제로 파인애플  245ml 30개</v>
          </cell>
          <cell r="C154" t="str">
            <v>101045</v>
          </cell>
          <cell r="D154" t="str">
            <v>식품 &gt; 생수/음료/커피 &gt; 음료 &gt; 탄산음료 &gt; 기타탄산음료</v>
          </cell>
          <cell r="E154" t="str">
            <v>102802</v>
          </cell>
          <cell r="F154" t="str">
            <v>기본카테고리 &gt; 가공식품 &gt; 음료/파우더/시럽 &gt; 탄산음료/기타음료</v>
          </cell>
          <cell r="G154" t="str">
            <v>2023-06-07 17:17:08</v>
          </cell>
          <cell r="H154" t="str">
            <v/>
          </cell>
          <cell r="I154" t="str">
            <v>Y</v>
          </cell>
          <cell r="J154" t="str">
            <v>Y</v>
          </cell>
          <cell r="K154" t="str">
            <v>N</v>
          </cell>
          <cell r="L154" t="str">
            <v>할인율</v>
          </cell>
          <cell r="M154">
            <v>0</v>
          </cell>
          <cell r="N154" t="str">
            <v>Y</v>
          </cell>
          <cell r="O154" t="str">
            <v>해당없음</v>
          </cell>
          <cell r="P154" t="str">
            <v/>
          </cell>
          <cell r="Q154" t="str">
            <v>N</v>
          </cell>
          <cell r="R154">
            <v>510649</v>
          </cell>
        </row>
        <row r="155">
          <cell r="A155">
            <v>249955</v>
          </cell>
          <cell r="B155" t="str">
            <v>동아 나랑드사이다 제로 그린애플  245ml 30개</v>
          </cell>
          <cell r="C155" t="str">
            <v>101045</v>
          </cell>
          <cell r="D155" t="str">
            <v>식품 &gt; 생수/음료/커피 &gt; 음료 &gt; 탄산음료 &gt; 기타탄산음료</v>
          </cell>
          <cell r="E155" t="str">
            <v>102802</v>
          </cell>
          <cell r="F155" t="str">
            <v>기본카테고리 &gt; 가공식품 &gt; 음료/파우더/시럽 &gt; 탄산음료/기타음료</v>
          </cell>
          <cell r="G155" t="str">
            <v>2023-06-07 17:17:08</v>
          </cell>
          <cell r="H155" t="str">
            <v/>
          </cell>
          <cell r="I155" t="str">
            <v>Y</v>
          </cell>
          <cell r="J155" t="str">
            <v>Y</v>
          </cell>
          <cell r="K155" t="str">
            <v>N</v>
          </cell>
          <cell r="L155" t="str">
            <v>할인율</v>
          </cell>
          <cell r="M155">
            <v>0</v>
          </cell>
          <cell r="N155" t="str">
            <v>Y</v>
          </cell>
          <cell r="O155" t="str">
            <v>해당없음</v>
          </cell>
          <cell r="P155" t="str">
            <v/>
          </cell>
          <cell r="Q155" t="str">
            <v>N</v>
          </cell>
          <cell r="R155">
            <v>510648</v>
          </cell>
        </row>
        <row r="156">
          <cell r="A156">
            <v>249954</v>
          </cell>
          <cell r="B156" t="str">
            <v>코카콜라 킨사이다(업소용) 1.5L 12개</v>
          </cell>
          <cell r="C156" t="str">
            <v>101042</v>
          </cell>
          <cell r="D156" t="str">
            <v>식품 &gt; 생수/음료/커피 &gt; 음료 &gt; 탄산음료 &gt; 사이다</v>
          </cell>
          <cell r="E156" t="str">
            <v>102802</v>
          </cell>
          <cell r="F156" t="str">
            <v>기본카테고리 &gt; 가공식품 &gt; 음료/파우더/시럽 &gt; 탄산음료/기타음료</v>
          </cell>
          <cell r="G156" t="str">
            <v>2023-06-07 17:17:08</v>
          </cell>
          <cell r="H156" t="str">
            <v/>
          </cell>
          <cell r="I156" t="str">
            <v>Y</v>
          </cell>
          <cell r="J156" t="str">
            <v>Y</v>
          </cell>
          <cell r="K156" t="str">
            <v>N</v>
          </cell>
          <cell r="L156" t="str">
            <v>할인율</v>
          </cell>
          <cell r="M156">
            <v>0</v>
          </cell>
          <cell r="N156" t="str">
            <v>Y</v>
          </cell>
          <cell r="O156" t="str">
            <v>해당없음</v>
          </cell>
          <cell r="P156" t="str">
            <v/>
          </cell>
          <cell r="Q156" t="str">
            <v>N</v>
          </cell>
          <cell r="R156">
            <v>510647</v>
          </cell>
        </row>
        <row r="157">
          <cell r="A157">
            <v>249953</v>
          </cell>
          <cell r="B157" t="str">
            <v>롯데칠성 사이다 제로 1.5L 12개</v>
          </cell>
          <cell r="C157" t="str">
            <v>101042</v>
          </cell>
          <cell r="D157" t="str">
            <v>식품 &gt; 생수/음료/커피 &gt; 음료 &gt; 탄산음료 &gt; 사이다</v>
          </cell>
          <cell r="E157" t="str">
            <v>102802</v>
          </cell>
          <cell r="F157" t="str">
            <v>기본카테고리 &gt; 가공식품 &gt; 음료/파우더/시럽 &gt; 탄산음료/기타음료</v>
          </cell>
          <cell r="G157" t="str">
            <v>2023-06-07 17:17:08</v>
          </cell>
          <cell r="H157" t="str">
            <v/>
          </cell>
          <cell r="I157" t="str">
            <v>Y</v>
          </cell>
          <cell r="J157" t="str">
            <v>Y</v>
          </cell>
          <cell r="K157" t="str">
            <v>N</v>
          </cell>
          <cell r="L157" t="str">
            <v>할인율</v>
          </cell>
          <cell r="M157">
            <v>0</v>
          </cell>
          <cell r="N157" t="str">
            <v>Y</v>
          </cell>
          <cell r="O157" t="str">
            <v>해당없음</v>
          </cell>
          <cell r="P157" t="str">
            <v/>
          </cell>
          <cell r="Q157" t="str">
            <v>N</v>
          </cell>
          <cell r="R157">
            <v>510646</v>
          </cell>
        </row>
        <row r="158">
          <cell r="A158">
            <v>249951</v>
          </cell>
          <cell r="B158" t="str">
            <v>롯데 게토레이캔 240ml 30개</v>
          </cell>
          <cell r="C158" t="str">
            <v>101029</v>
          </cell>
          <cell r="D158" t="str">
            <v>식품 &gt; 생수/음료/커피 &gt; 음료 &gt; 스포츠/이온음료</v>
          </cell>
          <cell r="E158" t="str">
            <v>102802</v>
          </cell>
          <cell r="F158" t="str">
            <v>기본카테고리 &gt; 가공식품 &gt; 음료/파우더/시럽 &gt; 탄산음료/기타음료</v>
          </cell>
          <cell r="G158" t="str">
            <v>2023-06-07 17:17:08</v>
          </cell>
          <cell r="H158" t="str">
            <v/>
          </cell>
          <cell r="I158" t="str">
            <v>Y</v>
          </cell>
          <cell r="J158" t="str">
            <v>Y</v>
          </cell>
          <cell r="K158" t="str">
            <v>N</v>
          </cell>
          <cell r="L158" t="str">
            <v>할인율</v>
          </cell>
          <cell r="M158">
            <v>0</v>
          </cell>
          <cell r="N158" t="str">
            <v>Y</v>
          </cell>
          <cell r="O158" t="str">
            <v>해당없음</v>
          </cell>
          <cell r="P158" t="str">
            <v/>
          </cell>
          <cell r="Q158" t="str">
            <v>N</v>
          </cell>
          <cell r="R158">
            <v>510644</v>
          </cell>
        </row>
        <row r="159">
          <cell r="A159">
            <v>249950</v>
          </cell>
          <cell r="B159" t="str">
            <v>파워에이드 1.5L 12개</v>
          </cell>
          <cell r="C159" t="str">
            <v>101029</v>
          </cell>
          <cell r="D159" t="str">
            <v>식품 &gt; 생수/음료/커피 &gt; 음료 &gt; 스포츠/이온음료</v>
          </cell>
          <cell r="E159" t="str">
            <v>102802</v>
          </cell>
          <cell r="F159" t="str">
            <v>기본카테고리 &gt; 가공식품 &gt; 음료/파우더/시럽 &gt; 탄산음료/기타음료</v>
          </cell>
          <cell r="G159" t="str">
            <v>2023-06-07 17:17:08</v>
          </cell>
          <cell r="H159" t="str">
            <v/>
          </cell>
          <cell r="I159" t="str">
            <v>Y</v>
          </cell>
          <cell r="J159" t="str">
            <v>Y</v>
          </cell>
          <cell r="K159" t="str">
            <v>N</v>
          </cell>
          <cell r="L159" t="str">
            <v>할인율</v>
          </cell>
          <cell r="M159">
            <v>0</v>
          </cell>
          <cell r="N159" t="str">
            <v>Y</v>
          </cell>
          <cell r="O159" t="str">
            <v>해당없음</v>
          </cell>
          <cell r="P159" t="str">
            <v/>
          </cell>
          <cell r="Q159" t="str">
            <v>N</v>
          </cell>
          <cell r="R159">
            <v>510643</v>
          </cell>
        </row>
        <row r="160">
          <cell r="A160">
            <v>249949</v>
          </cell>
          <cell r="B160" t="str">
            <v>동서 제티초코 175ml 30개</v>
          </cell>
          <cell r="C160" t="str">
            <v>101141</v>
          </cell>
          <cell r="D160" t="str">
            <v>식품 &gt; 우유/유제품 &gt; 우유 &gt; 초코우유</v>
          </cell>
          <cell r="E160" t="str">
            <v>102866</v>
          </cell>
          <cell r="F160" t="str">
            <v>기본카테고리 &gt; 가공식품 &gt; 치즈/우유/유가공품 &gt; 우유/요거트</v>
          </cell>
          <cell r="G160" t="str">
            <v>2023-06-07 17:17:08</v>
          </cell>
          <cell r="H160" t="str">
            <v/>
          </cell>
          <cell r="I160" t="str">
            <v>Y</v>
          </cell>
          <cell r="J160" t="str">
            <v>Y</v>
          </cell>
          <cell r="K160" t="str">
            <v>N</v>
          </cell>
          <cell r="L160" t="str">
            <v>할인율</v>
          </cell>
          <cell r="M160">
            <v>0</v>
          </cell>
          <cell r="N160" t="str">
            <v>Y</v>
          </cell>
          <cell r="O160" t="str">
            <v>해당없음</v>
          </cell>
          <cell r="P160" t="str">
            <v/>
          </cell>
          <cell r="Q160" t="str">
            <v>N</v>
          </cell>
          <cell r="R160">
            <v>510642</v>
          </cell>
        </row>
        <row r="161">
          <cell r="A161">
            <v>249948</v>
          </cell>
          <cell r="B161" t="str">
            <v>웅진 가야농장 알로에1.5L 12개</v>
          </cell>
          <cell r="C161" t="str">
            <v>115210</v>
          </cell>
          <cell r="D161" t="str">
            <v>식품 &gt; 생수/음료/커피 &gt; 음료 &gt; 과일/야채음료</v>
          </cell>
          <cell r="E161" t="str">
            <v>102802</v>
          </cell>
          <cell r="F161" t="str">
            <v>기본카테고리 &gt; 가공식품 &gt; 음료/파우더/시럽 &gt; 탄산음료/기타음료</v>
          </cell>
          <cell r="G161" t="str">
            <v>2023-06-07 17:17:08</v>
          </cell>
          <cell r="H161" t="str">
            <v/>
          </cell>
          <cell r="I161" t="str">
            <v>Y</v>
          </cell>
          <cell r="J161" t="str">
            <v>Y</v>
          </cell>
          <cell r="K161" t="str">
            <v>N</v>
          </cell>
          <cell r="L161" t="str">
            <v>할인율</v>
          </cell>
          <cell r="M161">
            <v>0</v>
          </cell>
          <cell r="N161" t="str">
            <v>Y</v>
          </cell>
          <cell r="O161" t="str">
            <v>해당없음</v>
          </cell>
          <cell r="P161" t="str">
            <v/>
          </cell>
          <cell r="Q161" t="str">
            <v>N</v>
          </cell>
          <cell r="R161">
            <v>510641</v>
          </cell>
        </row>
        <row r="162">
          <cell r="A162">
            <v>249947</v>
          </cell>
          <cell r="B162" t="str">
            <v>롯데 펩시콜라 250ml 30개</v>
          </cell>
          <cell r="C162" t="str">
            <v>101045</v>
          </cell>
          <cell r="D162" t="str">
            <v>식품 &gt; 생수/음료/커피 &gt; 음료 &gt; 탄산음료 &gt; 기타탄산음료</v>
          </cell>
          <cell r="E162" t="str">
            <v>102802</v>
          </cell>
          <cell r="F162" t="str">
            <v>기본카테고리 &gt; 가공식품 &gt; 음료/파우더/시럽 &gt; 탄산음료/기타음료</v>
          </cell>
          <cell r="G162" t="str">
            <v>2023-06-07 17:17:08</v>
          </cell>
          <cell r="H162" t="str">
            <v/>
          </cell>
          <cell r="I162" t="str">
            <v>Y</v>
          </cell>
          <cell r="J162" t="str">
            <v>Y</v>
          </cell>
          <cell r="K162" t="str">
            <v>N</v>
          </cell>
          <cell r="L162" t="str">
            <v>할인율</v>
          </cell>
          <cell r="M162">
            <v>0</v>
          </cell>
          <cell r="N162" t="str">
            <v>Y</v>
          </cell>
          <cell r="O162" t="str">
            <v>해당없음</v>
          </cell>
          <cell r="P162" t="str">
            <v/>
          </cell>
          <cell r="Q162" t="str">
            <v>N</v>
          </cell>
          <cell r="R162">
            <v>510640</v>
          </cell>
        </row>
        <row r="163">
          <cell r="A163">
            <v>249946</v>
          </cell>
          <cell r="B163" t="str">
            <v>참맑은 파인애플 캔 175ml 30개</v>
          </cell>
          <cell r="C163" t="str">
            <v>115210</v>
          </cell>
          <cell r="D163" t="str">
            <v>식품 &gt; 생수/음료/커피 &gt; 음료 &gt; 과일/야채음료</v>
          </cell>
          <cell r="E163" t="str">
            <v>102802</v>
          </cell>
          <cell r="F163" t="str">
            <v>기본카테고리 &gt; 가공식품 &gt; 음료/파우더/시럽 &gt; 탄산음료/기타음료</v>
          </cell>
          <cell r="G163" t="str">
            <v>2023-06-07 17:17:08</v>
          </cell>
          <cell r="H163" t="str">
            <v/>
          </cell>
          <cell r="I163" t="str">
            <v>Y</v>
          </cell>
          <cell r="J163" t="str">
            <v>Y</v>
          </cell>
          <cell r="K163" t="str">
            <v>N</v>
          </cell>
          <cell r="L163" t="str">
            <v>할인율</v>
          </cell>
          <cell r="M163">
            <v>0</v>
          </cell>
          <cell r="N163" t="str">
            <v>Y</v>
          </cell>
          <cell r="O163" t="str">
            <v>해당없음</v>
          </cell>
          <cell r="P163" t="str">
            <v/>
          </cell>
          <cell r="Q163" t="str">
            <v>N</v>
          </cell>
          <cell r="R163">
            <v>510639</v>
          </cell>
        </row>
        <row r="164">
          <cell r="A164">
            <v>249944</v>
          </cell>
          <cell r="B164" t="str">
            <v>롯데 펩시콜라 355ml(업소용) 24개</v>
          </cell>
          <cell r="C164" t="str">
            <v>101044</v>
          </cell>
          <cell r="D164" t="str">
            <v>식품 &gt; 생수/음료/커피 &gt; 음료 &gt; 탄산음료 &gt; 콜라</v>
          </cell>
          <cell r="E164" t="str">
            <v>102802</v>
          </cell>
          <cell r="F164" t="str">
            <v>기본카테고리 &gt; 가공식품 &gt; 음료/파우더/시럽 &gt; 탄산음료/기타음료</v>
          </cell>
          <cell r="G164" t="str">
            <v>2023-06-07 17:17:08</v>
          </cell>
          <cell r="H164" t="str">
            <v/>
          </cell>
          <cell r="I164" t="str">
            <v>Y</v>
          </cell>
          <cell r="J164" t="str">
            <v>Y</v>
          </cell>
          <cell r="K164" t="str">
            <v>N</v>
          </cell>
          <cell r="L164" t="str">
            <v>할인율</v>
          </cell>
          <cell r="M164">
            <v>0</v>
          </cell>
          <cell r="N164" t="str">
            <v>Y</v>
          </cell>
          <cell r="O164" t="str">
            <v>해당없음</v>
          </cell>
          <cell r="P164" t="str">
            <v/>
          </cell>
          <cell r="Q164" t="str">
            <v>N</v>
          </cell>
          <cell r="R164">
            <v>510637</v>
          </cell>
        </row>
        <row r="165">
          <cell r="A165">
            <v>249942</v>
          </cell>
          <cell r="B165" t="str">
            <v>광동 헛개차 캔 175ml 30개</v>
          </cell>
          <cell r="C165" t="str">
            <v>101038</v>
          </cell>
          <cell r="D165" t="str">
            <v>식품 &gt; 생수/음료/커피 &gt; 음료 &gt; 전통/차음료 &gt; 헛개수차음료</v>
          </cell>
          <cell r="E165" t="str">
            <v>102802</v>
          </cell>
          <cell r="F165" t="str">
            <v>기본카테고리 &gt; 가공식품 &gt; 음료/파우더/시럽 &gt; 탄산음료/기타음료</v>
          </cell>
          <cell r="G165" t="str">
            <v>2023-06-07 17:17:08</v>
          </cell>
          <cell r="H165" t="str">
            <v/>
          </cell>
          <cell r="I165" t="str">
            <v>Y</v>
          </cell>
          <cell r="J165" t="str">
            <v>Y</v>
          </cell>
          <cell r="K165" t="str">
            <v>N</v>
          </cell>
          <cell r="L165" t="str">
            <v>할인율</v>
          </cell>
          <cell r="M165">
            <v>0</v>
          </cell>
          <cell r="N165" t="str">
            <v>Y</v>
          </cell>
          <cell r="O165" t="str">
            <v>해당없음</v>
          </cell>
          <cell r="P165" t="str">
            <v/>
          </cell>
          <cell r="Q165" t="str">
            <v>N</v>
          </cell>
          <cell r="R165">
            <v>510635</v>
          </cell>
        </row>
        <row r="166">
          <cell r="A166">
            <v>249941</v>
          </cell>
          <cell r="B166" t="str">
            <v>롯데 펩시콜라 190ml 30개</v>
          </cell>
          <cell r="C166" t="str">
            <v>101045</v>
          </cell>
          <cell r="D166" t="str">
            <v>식품 &gt; 생수/음료/커피 &gt; 음료 &gt; 탄산음료 &gt; 기타탄산음료</v>
          </cell>
          <cell r="E166" t="str">
            <v>102802</v>
          </cell>
          <cell r="F166" t="str">
            <v>기본카테고리 &gt; 가공식품 &gt; 음료/파우더/시럽 &gt; 탄산음료/기타음료</v>
          </cell>
          <cell r="G166" t="str">
            <v>2023-06-07 17:17:08</v>
          </cell>
          <cell r="H166" t="str">
            <v/>
          </cell>
          <cell r="I166" t="str">
            <v>Y</v>
          </cell>
          <cell r="J166" t="str">
            <v>Y</v>
          </cell>
          <cell r="K166" t="str">
            <v>N</v>
          </cell>
          <cell r="L166" t="str">
            <v>할인율</v>
          </cell>
          <cell r="M166">
            <v>0</v>
          </cell>
          <cell r="N166" t="str">
            <v>Y</v>
          </cell>
          <cell r="O166" t="str">
            <v>해당없음</v>
          </cell>
          <cell r="P166" t="str">
            <v/>
          </cell>
          <cell r="Q166" t="str">
            <v>N</v>
          </cell>
          <cell r="R166">
            <v>510634</v>
          </cell>
        </row>
        <row r="167">
          <cell r="A167">
            <v>249939</v>
          </cell>
          <cell r="B167" t="str">
            <v>해태 코코팜 피치핑크 캔 340ml 24개</v>
          </cell>
          <cell r="C167" t="str">
            <v>101045</v>
          </cell>
          <cell r="D167" t="str">
            <v>식품 &gt; 생수/음료/커피 &gt; 음료 &gt; 탄산음료 &gt; 기타탄산음료</v>
          </cell>
          <cell r="E167" t="str">
            <v>102802</v>
          </cell>
          <cell r="F167" t="str">
            <v>기본카테고리 &gt; 가공식품 &gt; 음료/파우더/시럽 &gt; 탄산음료/기타음료</v>
          </cell>
          <cell r="G167" t="str">
            <v>2023-06-07 17:17:08</v>
          </cell>
          <cell r="H167" t="str">
            <v/>
          </cell>
          <cell r="I167" t="str">
            <v>Y</v>
          </cell>
          <cell r="J167" t="str">
            <v>Y</v>
          </cell>
          <cell r="K167" t="str">
            <v>N</v>
          </cell>
          <cell r="L167" t="str">
            <v>할인율</v>
          </cell>
          <cell r="M167">
            <v>0</v>
          </cell>
          <cell r="N167" t="str">
            <v>Y</v>
          </cell>
          <cell r="O167" t="str">
            <v>해당없음</v>
          </cell>
          <cell r="P167" t="str">
            <v/>
          </cell>
          <cell r="Q167" t="str">
            <v>N</v>
          </cell>
          <cell r="R167">
            <v>510632</v>
          </cell>
        </row>
        <row r="168">
          <cell r="A168">
            <v>249938</v>
          </cell>
          <cell r="B168" t="str">
            <v>롯데칠성 사이다355ml(업소용) 24개</v>
          </cell>
          <cell r="C168" t="str">
            <v>101042</v>
          </cell>
          <cell r="D168" t="str">
            <v>식품 &gt; 생수/음료/커피 &gt; 음료 &gt; 탄산음료 &gt; 사이다</v>
          </cell>
          <cell r="E168" t="str">
            <v>102802</v>
          </cell>
          <cell r="F168" t="str">
            <v>기본카테고리 &gt; 가공식품 &gt; 음료/파우더/시럽 &gt; 탄산음료/기타음료</v>
          </cell>
          <cell r="G168" t="str">
            <v>2023-06-07 17:17:08</v>
          </cell>
          <cell r="H168" t="str">
            <v/>
          </cell>
          <cell r="I168" t="str">
            <v>Y</v>
          </cell>
          <cell r="J168" t="str">
            <v>Y</v>
          </cell>
          <cell r="K168" t="str">
            <v>N</v>
          </cell>
          <cell r="L168" t="str">
            <v>할인율</v>
          </cell>
          <cell r="M168">
            <v>0</v>
          </cell>
          <cell r="N168" t="str">
            <v>Y</v>
          </cell>
          <cell r="O168" t="str">
            <v>해당없음</v>
          </cell>
          <cell r="P168" t="str">
            <v/>
          </cell>
          <cell r="Q168" t="str">
            <v>N</v>
          </cell>
          <cell r="R168">
            <v>510631</v>
          </cell>
        </row>
        <row r="169">
          <cell r="A169">
            <v>249937</v>
          </cell>
          <cell r="B169" t="str">
            <v>토레타 1.5L 12개</v>
          </cell>
          <cell r="C169" t="str">
            <v>101029</v>
          </cell>
          <cell r="D169" t="str">
            <v>식품 &gt; 생수/음료/커피 &gt; 음료 &gt; 스포츠/이온음료</v>
          </cell>
          <cell r="E169" t="str">
            <v>102802</v>
          </cell>
          <cell r="F169" t="str">
            <v>기본카테고리 &gt; 가공식품 &gt; 음료/파우더/시럽 &gt; 탄산음료/기타음료</v>
          </cell>
          <cell r="G169" t="str">
            <v>2023-06-07 17:17:08</v>
          </cell>
          <cell r="H169" t="str">
            <v/>
          </cell>
          <cell r="I169" t="str">
            <v>Y</v>
          </cell>
          <cell r="J169" t="str">
            <v>Y</v>
          </cell>
          <cell r="K169" t="str">
            <v>N</v>
          </cell>
          <cell r="L169" t="str">
            <v>할인율</v>
          </cell>
          <cell r="M169">
            <v>0</v>
          </cell>
          <cell r="N169" t="str">
            <v>Y</v>
          </cell>
          <cell r="O169" t="str">
            <v>해당없음</v>
          </cell>
          <cell r="P169" t="str">
            <v/>
          </cell>
          <cell r="Q169" t="str">
            <v>N</v>
          </cell>
          <cell r="R169">
            <v>510630</v>
          </cell>
        </row>
        <row r="170">
          <cell r="A170">
            <v>249936</v>
          </cell>
          <cell r="B170" t="str">
            <v>진로 토닉워터 깔라만씨 300ml 24개</v>
          </cell>
          <cell r="C170" t="str">
            <v>101045</v>
          </cell>
          <cell r="D170" t="str">
            <v>식품 &gt; 생수/음료/커피 &gt; 음료 &gt; 탄산음료 &gt; 기타탄산음료</v>
          </cell>
          <cell r="E170" t="str">
            <v>102802</v>
          </cell>
          <cell r="F170" t="str">
            <v>기본카테고리 &gt; 가공식품 &gt; 음료/파우더/시럽 &gt; 탄산음료/기타음료</v>
          </cell>
          <cell r="G170" t="str">
            <v>2023-06-07 17:17:08</v>
          </cell>
          <cell r="H170" t="str">
            <v/>
          </cell>
          <cell r="I170" t="str">
            <v>Y</v>
          </cell>
          <cell r="J170" t="str">
            <v>Y</v>
          </cell>
          <cell r="K170" t="str">
            <v>N</v>
          </cell>
          <cell r="L170" t="str">
            <v>할인율</v>
          </cell>
          <cell r="M170">
            <v>0</v>
          </cell>
          <cell r="N170" t="str">
            <v>Y</v>
          </cell>
          <cell r="O170" t="str">
            <v>해당없음</v>
          </cell>
          <cell r="P170" t="str">
            <v/>
          </cell>
          <cell r="Q170" t="str">
            <v>N</v>
          </cell>
          <cell r="R170">
            <v>510629</v>
          </cell>
        </row>
        <row r="171">
          <cell r="A171">
            <v>249935</v>
          </cell>
          <cell r="B171" t="str">
            <v>참맑은 매실 캔 175ml 30개</v>
          </cell>
          <cell r="C171" t="str">
            <v>115210</v>
          </cell>
          <cell r="D171" t="str">
            <v>식품 &gt; 생수/음료/커피 &gt; 음료 &gt; 과일/야채음료</v>
          </cell>
          <cell r="E171" t="str">
            <v>102802</v>
          </cell>
          <cell r="F171" t="str">
            <v>기본카테고리 &gt; 가공식품 &gt; 음료/파우더/시럽 &gt; 탄산음료/기타음료</v>
          </cell>
          <cell r="G171" t="str">
            <v>2023-06-07 17:17:08</v>
          </cell>
          <cell r="H171" t="str">
            <v/>
          </cell>
          <cell r="I171" t="str">
            <v>Y</v>
          </cell>
          <cell r="J171" t="str">
            <v>Y</v>
          </cell>
          <cell r="K171" t="str">
            <v>N</v>
          </cell>
          <cell r="L171" t="str">
            <v>할인율</v>
          </cell>
          <cell r="M171">
            <v>0</v>
          </cell>
          <cell r="N171" t="str">
            <v>Y</v>
          </cell>
          <cell r="O171" t="str">
            <v>해당없음</v>
          </cell>
          <cell r="P171" t="str">
            <v/>
          </cell>
          <cell r="Q171" t="str">
            <v>N</v>
          </cell>
          <cell r="R171">
            <v>510628</v>
          </cell>
        </row>
        <row r="172">
          <cell r="A172">
            <v>249934</v>
          </cell>
          <cell r="B172" t="str">
            <v>롯데칠성 사이다 1.25L (업소용) 12개</v>
          </cell>
          <cell r="C172" t="str">
            <v>101042</v>
          </cell>
          <cell r="D172" t="str">
            <v>식품 &gt; 생수/음료/커피 &gt; 음료 &gt; 탄산음료 &gt; 사이다</v>
          </cell>
          <cell r="E172" t="str">
            <v>102802</v>
          </cell>
          <cell r="F172" t="str">
            <v>기본카테고리 &gt; 가공식품 &gt; 음료/파우더/시럽 &gt; 탄산음료/기타음료</v>
          </cell>
          <cell r="G172" t="str">
            <v>2023-06-07 17:17:08</v>
          </cell>
          <cell r="H172" t="str">
            <v/>
          </cell>
          <cell r="I172" t="str">
            <v>Y</v>
          </cell>
          <cell r="J172" t="str">
            <v>Y</v>
          </cell>
          <cell r="K172" t="str">
            <v>N</v>
          </cell>
          <cell r="L172" t="str">
            <v>할인율</v>
          </cell>
          <cell r="M172">
            <v>0</v>
          </cell>
          <cell r="N172" t="str">
            <v>Y</v>
          </cell>
          <cell r="O172" t="str">
            <v>해당없음</v>
          </cell>
          <cell r="P172" t="str">
            <v/>
          </cell>
          <cell r="Q172" t="str">
            <v>N</v>
          </cell>
          <cell r="R172">
            <v>510627</v>
          </cell>
        </row>
        <row r="173">
          <cell r="A173">
            <v>249933</v>
          </cell>
          <cell r="B173" t="str">
            <v>광동 헛개차 1.5L 12개</v>
          </cell>
          <cell r="C173" t="str">
            <v>101038</v>
          </cell>
          <cell r="D173" t="str">
            <v>식품 &gt; 생수/음료/커피 &gt; 음료 &gt; 전통/차음료 &gt; 헛개수차음료</v>
          </cell>
          <cell r="E173" t="str">
            <v>102802</v>
          </cell>
          <cell r="F173" t="str">
            <v>기본카테고리 &gt; 가공식품 &gt; 음료/파우더/시럽 &gt; 탄산음료/기타음료</v>
          </cell>
          <cell r="G173" t="str">
            <v>2023-06-07 17:17:08</v>
          </cell>
          <cell r="H173" t="str">
            <v/>
          </cell>
          <cell r="I173" t="str">
            <v>Y</v>
          </cell>
          <cell r="J173" t="str">
            <v>Y</v>
          </cell>
          <cell r="K173" t="str">
            <v>N</v>
          </cell>
          <cell r="L173" t="str">
            <v>할인율</v>
          </cell>
          <cell r="M173">
            <v>0</v>
          </cell>
          <cell r="N173" t="str">
            <v>Y</v>
          </cell>
          <cell r="O173" t="str">
            <v>해당없음</v>
          </cell>
          <cell r="P173" t="str">
            <v/>
          </cell>
          <cell r="Q173" t="str">
            <v>N</v>
          </cell>
          <cell r="R173">
            <v>510626</v>
          </cell>
        </row>
        <row r="174">
          <cell r="A174">
            <v>249932</v>
          </cell>
          <cell r="B174" t="str">
            <v>코카콜라 닥터페퍼 350ml 24개</v>
          </cell>
          <cell r="C174" t="str">
            <v>101045</v>
          </cell>
          <cell r="D174" t="str">
            <v>식품 &gt; 생수/음료/커피 &gt; 음료 &gt; 탄산음료 &gt; 기타탄산음료</v>
          </cell>
          <cell r="E174" t="str">
            <v>102802</v>
          </cell>
          <cell r="F174" t="str">
            <v>기본카테고리 &gt; 가공식품 &gt; 음료/파우더/시럽 &gt; 탄산음료/기타음료</v>
          </cell>
          <cell r="G174" t="str">
            <v>2023-06-07 17:17:08</v>
          </cell>
          <cell r="H174" t="str">
            <v/>
          </cell>
          <cell r="I174" t="str">
            <v>Y</v>
          </cell>
          <cell r="J174" t="str">
            <v>Y</v>
          </cell>
          <cell r="K174" t="str">
            <v>N</v>
          </cell>
          <cell r="L174" t="str">
            <v>할인율</v>
          </cell>
          <cell r="M174">
            <v>0</v>
          </cell>
          <cell r="N174" t="str">
            <v>Y</v>
          </cell>
          <cell r="O174" t="str">
            <v>해당없음</v>
          </cell>
          <cell r="P174" t="str">
            <v/>
          </cell>
          <cell r="Q174" t="str">
            <v>N</v>
          </cell>
          <cell r="R174">
            <v>510625</v>
          </cell>
        </row>
        <row r="175">
          <cell r="A175">
            <v>249931</v>
          </cell>
          <cell r="B175" t="str">
            <v>비락 식혜 1.5L 8개</v>
          </cell>
          <cell r="C175" t="str">
            <v>101034</v>
          </cell>
          <cell r="D175" t="str">
            <v>식품 &gt; 생수/음료/커피 &gt; 음료 &gt; 전통/차음료 &gt; 식혜</v>
          </cell>
          <cell r="E175" t="str">
            <v>102802</v>
          </cell>
          <cell r="F175" t="str">
            <v>기본카테고리 &gt; 가공식품 &gt; 음료/파우더/시럽 &gt; 탄산음료/기타음료</v>
          </cell>
          <cell r="G175" t="str">
            <v>2023-06-07 17:17:08</v>
          </cell>
          <cell r="H175" t="str">
            <v/>
          </cell>
          <cell r="I175" t="str">
            <v>Y</v>
          </cell>
          <cell r="J175" t="str">
            <v>Y</v>
          </cell>
          <cell r="K175" t="str">
            <v>N</v>
          </cell>
          <cell r="L175" t="str">
            <v>할인율</v>
          </cell>
          <cell r="M175">
            <v>0</v>
          </cell>
          <cell r="N175" t="str">
            <v>Y</v>
          </cell>
          <cell r="O175" t="str">
            <v>해당없음</v>
          </cell>
          <cell r="P175" t="str">
            <v/>
          </cell>
          <cell r="Q175" t="str">
            <v>N</v>
          </cell>
          <cell r="R175">
            <v>510624</v>
          </cell>
        </row>
        <row r="176">
          <cell r="A176">
            <v>249929</v>
          </cell>
          <cell r="B176" t="str">
            <v>일화 천연사이다 350ml 24개</v>
          </cell>
          <cell r="C176" t="str">
            <v>101045</v>
          </cell>
          <cell r="D176" t="str">
            <v>식품 &gt; 생수/음료/커피 &gt; 음료 &gt; 탄산음료 &gt; 기타탄산음료</v>
          </cell>
          <cell r="E176" t="str">
            <v>102802</v>
          </cell>
          <cell r="F176" t="str">
            <v>기본카테고리 &gt; 가공식품 &gt; 음료/파우더/시럽 &gt; 탄산음료/기타음료</v>
          </cell>
          <cell r="G176" t="str">
            <v>2023-06-07 17:17:08</v>
          </cell>
          <cell r="H176" t="str">
            <v/>
          </cell>
          <cell r="I176" t="str">
            <v>Y</v>
          </cell>
          <cell r="J176" t="str">
            <v>Y</v>
          </cell>
          <cell r="K176" t="str">
            <v>N</v>
          </cell>
          <cell r="L176" t="str">
            <v>할인율</v>
          </cell>
          <cell r="M176">
            <v>0</v>
          </cell>
          <cell r="N176" t="str">
            <v>Y</v>
          </cell>
          <cell r="O176" t="str">
            <v>해당없음</v>
          </cell>
          <cell r="P176" t="str">
            <v/>
          </cell>
          <cell r="Q176" t="str">
            <v>N</v>
          </cell>
          <cell r="R176">
            <v>510622</v>
          </cell>
        </row>
        <row r="177">
          <cell r="A177">
            <v>249928</v>
          </cell>
          <cell r="B177" t="str">
            <v>몬스터 에너지 드링크 오리지날 그린 355ml 24개</v>
          </cell>
          <cell r="C177" t="str">
            <v>101024</v>
          </cell>
          <cell r="D177" t="str">
            <v>식품 &gt; 생수/음료/커피 &gt; 음료 &gt; 건강/기능성음료 &gt; 에너지음료</v>
          </cell>
          <cell r="E177" t="str">
            <v>102802</v>
          </cell>
          <cell r="F177" t="str">
            <v>기본카테고리 &gt; 가공식품 &gt; 음료/파우더/시럽 &gt; 탄산음료/기타음료</v>
          </cell>
          <cell r="G177" t="str">
            <v>2023-06-07 17:17:08</v>
          </cell>
          <cell r="H177" t="str">
            <v/>
          </cell>
          <cell r="I177" t="str">
            <v>Y</v>
          </cell>
          <cell r="J177" t="str">
            <v>Y</v>
          </cell>
          <cell r="K177" t="str">
            <v>N</v>
          </cell>
          <cell r="L177" t="str">
            <v>할인율</v>
          </cell>
          <cell r="M177">
            <v>0</v>
          </cell>
          <cell r="N177" t="str">
            <v>Y</v>
          </cell>
          <cell r="O177" t="str">
            <v>해당없음</v>
          </cell>
          <cell r="P177" t="str">
            <v/>
          </cell>
          <cell r="Q177" t="str">
            <v>N</v>
          </cell>
          <cell r="R177">
            <v>510621</v>
          </cell>
        </row>
        <row r="178">
          <cell r="A178">
            <v>249927</v>
          </cell>
          <cell r="B178" t="str">
            <v>몬스터에너지 울트라시트라 355ml 24개</v>
          </cell>
          <cell r="C178" t="str">
            <v>101024</v>
          </cell>
          <cell r="D178" t="str">
            <v>식품 &gt; 생수/음료/커피 &gt; 음료 &gt; 건강/기능성음료 &gt; 에너지음료</v>
          </cell>
          <cell r="E178" t="str">
            <v>102802</v>
          </cell>
          <cell r="F178" t="str">
            <v>기본카테고리 &gt; 가공식품 &gt; 음료/파우더/시럽 &gt; 탄산음료/기타음료</v>
          </cell>
          <cell r="G178" t="str">
            <v>2023-06-07 17:17:08</v>
          </cell>
          <cell r="H178" t="str">
            <v/>
          </cell>
          <cell r="I178" t="str">
            <v>Y</v>
          </cell>
          <cell r="J178" t="str">
            <v>Y</v>
          </cell>
          <cell r="K178" t="str">
            <v>N</v>
          </cell>
          <cell r="L178" t="str">
            <v>할인율</v>
          </cell>
          <cell r="M178">
            <v>0</v>
          </cell>
          <cell r="N178" t="str">
            <v>Y</v>
          </cell>
          <cell r="O178" t="str">
            <v>해당없음</v>
          </cell>
          <cell r="P178" t="str">
            <v/>
          </cell>
          <cell r="Q178" t="str">
            <v>N</v>
          </cell>
          <cell r="R178">
            <v>510620</v>
          </cell>
        </row>
        <row r="179">
          <cell r="A179">
            <v>249926</v>
          </cell>
          <cell r="B179" t="str">
            <v>몬스터 에너지 드링크 울트라 355ml 24개</v>
          </cell>
          <cell r="C179" t="str">
            <v>101024</v>
          </cell>
          <cell r="D179" t="str">
            <v>식품 &gt; 생수/음료/커피 &gt; 음료 &gt; 건강/기능성음료 &gt; 에너지음료</v>
          </cell>
          <cell r="E179" t="str">
            <v>102802</v>
          </cell>
          <cell r="F179" t="str">
            <v>기본카테고리 &gt; 가공식품 &gt; 음료/파우더/시럽 &gt; 탄산음료/기타음료</v>
          </cell>
          <cell r="G179" t="str">
            <v>2023-06-07 17:17:08</v>
          </cell>
          <cell r="H179" t="str">
            <v/>
          </cell>
          <cell r="I179" t="str">
            <v>Y</v>
          </cell>
          <cell r="J179" t="str">
            <v>Y</v>
          </cell>
          <cell r="K179" t="str">
            <v>N</v>
          </cell>
          <cell r="L179" t="str">
            <v>할인율</v>
          </cell>
          <cell r="M179">
            <v>0</v>
          </cell>
          <cell r="N179" t="str">
            <v>Y</v>
          </cell>
          <cell r="O179" t="str">
            <v>해당없음</v>
          </cell>
          <cell r="P179" t="str">
            <v/>
          </cell>
          <cell r="Q179" t="str">
            <v>N</v>
          </cell>
          <cell r="R179">
            <v>510619</v>
          </cell>
        </row>
        <row r="180">
          <cell r="A180">
            <v>249925</v>
          </cell>
          <cell r="B180" t="str">
            <v>코카콜라 355ml 24개 (바코드 있음_특수채널용)</v>
          </cell>
          <cell r="C180" t="str">
            <v>101045</v>
          </cell>
          <cell r="D180" t="str">
            <v>식품 &gt; 생수/음료/커피 &gt; 음료 &gt; 탄산음료 &gt; 기타탄산음료</v>
          </cell>
          <cell r="E180" t="str">
            <v>102802</v>
          </cell>
          <cell r="F180" t="str">
            <v>기본카테고리 &gt; 가공식품 &gt; 음료/파우더/시럽 &gt; 탄산음료/기타음료</v>
          </cell>
          <cell r="G180" t="str">
            <v>2023-06-07 17:17:08</v>
          </cell>
          <cell r="H180" t="str">
            <v/>
          </cell>
          <cell r="I180" t="str">
            <v>Y</v>
          </cell>
          <cell r="J180" t="str">
            <v>Y</v>
          </cell>
          <cell r="K180" t="str">
            <v>N</v>
          </cell>
          <cell r="L180" t="str">
            <v>할인율</v>
          </cell>
          <cell r="M180">
            <v>0</v>
          </cell>
          <cell r="N180" t="str">
            <v>Y</v>
          </cell>
          <cell r="O180" t="str">
            <v>해당없음</v>
          </cell>
          <cell r="P180" t="str">
            <v/>
          </cell>
          <cell r="Q180" t="str">
            <v>N</v>
          </cell>
          <cell r="R180">
            <v>510618</v>
          </cell>
        </row>
        <row r="181">
          <cell r="A181">
            <v>249924</v>
          </cell>
          <cell r="B181" t="str">
            <v>동아제약 포카리스웨트 340ml 24개</v>
          </cell>
          <cell r="C181" t="str">
            <v>101029</v>
          </cell>
          <cell r="D181" t="str">
            <v>식품 &gt; 생수/음료/커피 &gt; 음료 &gt; 스포츠/이온음료</v>
          </cell>
          <cell r="E181" t="str">
            <v>102802</v>
          </cell>
          <cell r="F181" t="str">
            <v>기본카테고리 &gt; 가공식품 &gt; 음료/파우더/시럽 &gt; 탄산음료/기타음료</v>
          </cell>
          <cell r="G181" t="str">
            <v>2023-06-07 17:17:08</v>
          </cell>
          <cell r="H181" t="str">
            <v/>
          </cell>
          <cell r="I181" t="str">
            <v>Y</v>
          </cell>
          <cell r="J181" t="str">
            <v>Y</v>
          </cell>
          <cell r="K181" t="str">
            <v>N</v>
          </cell>
          <cell r="L181" t="str">
            <v>할인율</v>
          </cell>
          <cell r="M181">
            <v>0</v>
          </cell>
          <cell r="N181" t="str">
            <v>Y</v>
          </cell>
          <cell r="O181" t="str">
            <v>해당없음</v>
          </cell>
          <cell r="P181" t="str">
            <v/>
          </cell>
          <cell r="Q181" t="str">
            <v>N</v>
          </cell>
          <cell r="R181">
            <v>510617</v>
          </cell>
        </row>
        <row r="182">
          <cell r="A182">
            <v>249923</v>
          </cell>
          <cell r="B182" t="str">
            <v>해태 갈아만든배 1.5L 12개</v>
          </cell>
          <cell r="C182" t="str">
            <v>115210</v>
          </cell>
          <cell r="D182" t="str">
            <v>식품 &gt; 생수/음료/커피 &gt; 음료 &gt; 과일/야채음료</v>
          </cell>
          <cell r="E182" t="str">
            <v>102802</v>
          </cell>
          <cell r="F182" t="str">
            <v>기본카테고리 &gt; 가공식품 &gt; 음료/파우더/시럽 &gt; 탄산음료/기타음료</v>
          </cell>
          <cell r="G182" t="str">
            <v>2023-06-07 17:17:08</v>
          </cell>
          <cell r="H182" t="str">
            <v/>
          </cell>
          <cell r="I182" t="str">
            <v>Y</v>
          </cell>
          <cell r="J182" t="str">
            <v>Y</v>
          </cell>
          <cell r="K182" t="str">
            <v>N</v>
          </cell>
          <cell r="L182" t="str">
            <v>할인율</v>
          </cell>
          <cell r="M182">
            <v>0</v>
          </cell>
          <cell r="N182" t="str">
            <v>Y</v>
          </cell>
          <cell r="O182" t="str">
            <v>해당없음</v>
          </cell>
          <cell r="P182" t="str">
            <v/>
          </cell>
          <cell r="Q182" t="str">
            <v>N</v>
          </cell>
          <cell r="R182">
            <v>510616</v>
          </cell>
        </row>
        <row r="183">
          <cell r="A183">
            <v>249922</v>
          </cell>
          <cell r="B183" t="str">
            <v>코카콜라 500ml 24개</v>
          </cell>
          <cell r="C183" t="str">
            <v>101045</v>
          </cell>
          <cell r="D183" t="str">
            <v>식품 &gt; 생수/음료/커피 &gt; 음료 &gt; 탄산음료 &gt; 기타탄산음료</v>
          </cell>
          <cell r="E183" t="str">
            <v>102802</v>
          </cell>
          <cell r="F183" t="str">
            <v>기본카테고리 &gt; 가공식품 &gt; 음료/파우더/시럽 &gt; 탄산음료/기타음료</v>
          </cell>
          <cell r="G183" t="str">
            <v>2023-06-07 17:17:08</v>
          </cell>
          <cell r="H183" t="str">
            <v/>
          </cell>
          <cell r="I183" t="str">
            <v>Y</v>
          </cell>
          <cell r="J183" t="str">
            <v>Y</v>
          </cell>
          <cell r="K183" t="str">
            <v>N</v>
          </cell>
          <cell r="L183" t="str">
            <v>할인율</v>
          </cell>
          <cell r="M183">
            <v>0</v>
          </cell>
          <cell r="N183" t="str">
            <v>Y</v>
          </cell>
          <cell r="O183" t="str">
            <v>해당없음</v>
          </cell>
          <cell r="P183" t="str">
            <v/>
          </cell>
          <cell r="Q183" t="str">
            <v>N</v>
          </cell>
          <cell r="R183">
            <v>510615</v>
          </cell>
        </row>
        <row r="184">
          <cell r="A184">
            <v>249920</v>
          </cell>
          <cell r="B184" t="str">
            <v>롯데칠성 사이다 500ml 20개</v>
          </cell>
          <cell r="C184" t="str">
            <v>101042</v>
          </cell>
          <cell r="D184" t="str">
            <v>식품 &gt; 생수/음료/커피 &gt; 음료 &gt; 탄산음료 &gt; 사이다</v>
          </cell>
          <cell r="E184" t="str">
            <v>102802</v>
          </cell>
          <cell r="F184" t="str">
            <v>기본카테고리 &gt; 가공식품 &gt; 음료/파우더/시럽 &gt; 탄산음료/기타음료</v>
          </cell>
          <cell r="G184" t="str">
            <v>2023-06-07 17:17:08</v>
          </cell>
          <cell r="H184" t="str">
            <v/>
          </cell>
          <cell r="I184" t="str">
            <v>Y</v>
          </cell>
          <cell r="J184" t="str">
            <v>Y</v>
          </cell>
          <cell r="K184" t="str">
            <v>N</v>
          </cell>
          <cell r="L184" t="str">
            <v>할인율</v>
          </cell>
          <cell r="M184">
            <v>0</v>
          </cell>
          <cell r="N184" t="str">
            <v>Y</v>
          </cell>
          <cell r="O184" t="str">
            <v>해당없음</v>
          </cell>
          <cell r="P184" t="str">
            <v/>
          </cell>
          <cell r="Q184" t="str">
            <v>N</v>
          </cell>
          <cell r="R184">
            <v>510613</v>
          </cell>
        </row>
        <row r="185">
          <cell r="A185">
            <v>249919</v>
          </cell>
          <cell r="B185" t="str">
            <v>동원 쿨피스복숭아 350ml 24개</v>
          </cell>
          <cell r="C185" t="str">
            <v>115210</v>
          </cell>
          <cell r="D185" t="str">
            <v>식품 &gt; 생수/음료/커피 &gt; 음료 &gt; 과일/야채음료</v>
          </cell>
          <cell r="E185" t="str">
            <v>102802</v>
          </cell>
          <cell r="F185" t="str">
            <v>기본카테고리 &gt; 가공식품 &gt; 음료/파우더/시럽 &gt; 탄산음료/기타음료</v>
          </cell>
          <cell r="G185" t="str">
            <v>2023-06-07 17:17:08</v>
          </cell>
          <cell r="H185" t="str">
            <v/>
          </cell>
          <cell r="I185" t="str">
            <v>Y</v>
          </cell>
          <cell r="J185" t="str">
            <v>Y</v>
          </cell>
          <cell r="K185" t="str">
            <v>N</v>
          </cell>
          <cell r="L185" t="str">
            <v>할인율</v>
          </cell>
          <cell r="M185">
            <v>0</v>
          </cell>
          <cell r="N185" t="str">
            <v>Y</v>
          </cell>
          <cell r="O185" t="str">
            <v>해당없음</v>
          </cell>
          <cell r="P185" t="str">
            <v/>
          </cell>
          <cell r="Q185" t="str">
            <v>N</v>
          </cell>
          <cell r="R185">
            <v>510612</v>
          </cell>
        </row>
        <row r="186">
          <cell r="A186">
            <v>249918</v>
          </cell>
          <cell r="B186" t="str">
            <v>일화 탑씨 콜라 1.5L 12개</v>
          </cell>
          <cell r="C186" t="str">
            <v>101044</v>
          </cell>
          <cell r="D186" t="str">
            <v>식품 &gt; 생수/음료/커피 &gt; 음료 &gt; 탄산음료 &gt; 콜라</v>
          </cell>
          <cell r="E186" t="str">
            <v>102802</v>
          </cell>
          <cell r="F186" t="str">
            <v>기본카테고리 &gt; 가공식품 &gt; 음료/파우더/시럽 &gt; 탄산음료/기타음료</v>
          </cell>
          <cell r="G186" t="str">
            <v>2023-06-07 17:17:08</v>
          </cell>
          <cell r="H186" t="str">
            <v/>
          </cell>
          <cell r="I186" t="str">
            <v>Y</v>
          </cell>
          <cell r="J186" t="str">
            <v>Y</v>
          </cell>
          <cell r="K186" t="str">
            <v>N</v>
          </cell>
          <cell r="L186" t="str">
            <v>할인율</v>
          </cell>
          <cell r="M186">
            <v>0</v>
          </cell>
          <cell r="N186" t="str">
            <v>Y</v>
          </cell>
          <cell r="O186" t="str">
            <v>해당없음</v>
          </cell>
          <cell r="P186" t="str">
            <v/>
          </cell>
          <cell r="Q186" t="str">
            <v>N</v>
          </cell>
          <cell r="R186">
            <v>510611</v>
          </cell>
        </row>
        <row r="187">
          <cell r="A187">
            <v>249917</v>
          </cell>
          <cell r="B187" t="str">
            <v>롯데 솔의눈 240ml 30개</v>
          </cell>
          <cell r="C187" t="str">
            <v>101045</v>
          </cell>
          <cell r="D187" t="str">
            <v>식품 &gt; 생수/음료/커피 &gt; 음료 &gt; 탄산음료 &gt; 기타탄산음료</v>
          </cell>
          <cell r="E187" t="str">
            <v>102802</v>
          </cell>
          <cell r="F187" t="str">
            <v>기본카테고리 &gt; 가공식품 &gt; 음료/파우더/시럽 &gt; 탄산음료/기타음료</v>
          </cell>
          <cell r="G187" t="str">
            <v>2023-06-07 17:17:08</v>
          </cell>
          <cell r="H187" t="str">
            <v/>
          </cell>
          <cell r="I187" t="str">
            <v>Y</v>
          </cell>
          <cell r="J187" t="str">
            <v>Y</v>
          </cell>
          <cell r="K187" t="str">
            <v>N</v>
          </cell>
          <cell r="L187" t="str">
            <v>할인율</v>
          </cell>
          <cell r="M187">
            <v>0</v>
          </cell>
          <cell r="N187" t="str">
            <v>Y</v>
          </cell>
          <cell r="O187" t="str">
            <v>해당없음</v>
          </cell>
          <cell r="P187" t="str">
            <v/>
          </cell>
          <cell r="Q187" t="str">
            <v>N</v>
          </cell>
          <cell r="R187">
            <v>510610</v>
          </cell>
        </row>
        <row r="188">
          <cell r="A188">
            <v>249916</v>
          </cell>
          <cell r="B188" t="str">
            <v>게토레이 1.5L 12개</v>
          </cell>
          <cell r="C188" t="str">
            <v>101029</v>
          </cell>
          <cell r="D188" t="str">
            <v>식품 &gt; 생수/음료/커피 &gt; 음료 &gt; 스포츠/이온음료</v>
          </cell>
          <cell r="E188" t="str">
            <v>102802</v>
          </cell>
          <cell r="F188" t="str">
            <v>기본카테고리 &gt; 가공식품 &gt; 음료/파우더/시럽 &gt; 탄산음료/기타음료</v>
          </cell>
          <cell r="G188" t="str">
            <v>2023-06-07 17:17:08</v>
          </cell>
          <cell r="H188" t="str">
            <v/>
          </cell>
          <cell r="I188" t="str">
            <v>Y</v>
          </cell>
          <cell r="J188" t="str">
            <v>Y</v>
          </cell>
          <cell r="K188" t="str">
            <v>N</v>
          </cell>
          <cell r="L188" t="str">
            <v>할인율</v>
          </cell>
          <cell r="M188">
            <v>0</v>
          </cell>
          <cell r="N188" t="str">
            <v>Y</v>
          </cell>
          <cell r="O188" t="str">
            <v>해당없음</v>
          </cell>
          <cell r="P188" t="str">
            <v/>
          </cell>
          <cell r="Q188" t="str">
            <v>N</v>
          </cell>
          <cell r="R188">
            <v>510609</v>
          </cell>
        </row>
        <row r="189">
          <cell r="A189">
            <v>249915</v>
          </cell>
          <cell r="B189" t="str">
            <v>토레타 355ml 24개</v>
          </cell>
          <cell r="C189" t="str">
            <v>101029</v>
          </cell>
          <cell r="D189" t="str">
            <v>식품 &gt; 생수/음료/커피 &gt; 음료 &gt; 스포츠/이온음료</v>
          </cell>
          <cell r="E189" t="str">
            <v>102802</v>
          </cell>
          <cell r="F189" t="str">
            <v>기본카테고리 &gt; 가공식품 &gt; 음료/파우더/시럽 &gt; 탄산음료/기타음료</v>
          </cell>
          <cell r="G189" t="str">
            <v>2023-06-07 17:17:08</v>
          </cell>
          <cell r="H189" t="str">
            <v/>
          </cell>
          <cell r="I189" t="str">
            <v>Y</v>
          </cell>
          <cell r="J189" t="str">
            <v>Y</v>
          </cell>
          <cell r="K189" t="str">
            <v>N</v>
          </cell>
          <cell r="L189" t="str">
            <v>할인율</v>
          </cell>
          <cell r="M189">
            <v>0</v>
          </cell>
          <cell r="N189" t="str">
            <v>Y</v>
          </cell>
          <cell r="O189" t="str">
            <v>해당없음</v>
          </cell>
          <cell r="P189" t="str">
            <v/>
          </cell>
          <cell r="Q189" t="str">
            <v>N</v>
          </cell>
          <cell r="R189">
            <v>510608</v>
          </cell>
        </row>
        <row r="190">
          <cell r="A190">
            <v>249914</v>
          </cell>
          <cell r="B190" t="str">
            <v>롯데 실론티 240ml 30개</v>
          </cell>
          <cell r="C190" t="str">
            <v>101045</v>
          </cell>
          <cell r="D190" t="str">
            <v>식품 &gt; 생수/음료/커피 &gt; 음료 &gt; 탄산음료 &gt; 기타탄산음료</v>
          </cell>
          <cell r="E190" t="str">
            <v>102802</v>
          </cell>
          <cell r="F190" t="str">
            <v>기본카테고리 &gt; 가공식품 &gt; 음료/파우더/시럽 &gt; 탄산음료/기타음료</v>
          </cell>
          <cell r="G190" t="str">
            <v>2023-06-07 17:17:08</v>
          </cell>
          <cell r="H190" t="str">
            <v/>
          </cell>
          <cell r="I190" t="str">
            <v>Y</v>
          </cell>
          <cell r="J190" t="str">
            <v>Y</v>
          </cell>
          <cell r="K190" t="str">
            <v>N</v>
          </cell>
          <cell r="L190" t="str">
            <v>할인율</v>
          </cell>
          <cell r="M190">
            <v>0</v>
          </cell>
          <cell r="N190" t="str">
            <v>Y</v>
          </cell>
          <cell r="O190" t="str">
            <v>해당없음</v>
          </cell>
          <cell r="P190" t="str">
            <v/>
          </cell>
          <cell r="Q190" t="str">
            <v>N</v>
          </cell>
          <cell r="R190">
            <v>510607</v>
          </cell>
        </row>
        <row r="191">
          <cell r="A191">
            <v>249913</v>
          </cell>
          <cell r="B191" t="str">
            <v>광동 옥수수수염차 1.5L 12개</v>
          </cell>
          <cell r="C191" t="str">
            <v>101040</v>
          </cell>
          <cell r="D191" t="str">
            <v>식품 &gt; 생수/음료/커피 &gt; 음료 &gt; 전통/차음료 &gt; 기타차음료</v>
          </cell>
          <cell r="E191" t="str">
            <v>102802</v>
          </cell>
          <cell r="F191" t="str">
            <v>기본카테고리 &gt; 가공식품 &gt; 음료/파우더/시럽 &gt; 탄산음료/기타음료</v>
          </cell>
          <cell r="G191" t="str">
            <v>2023-06-07 17:17:08</v>
          </cell>
          <cell r="H191" t="str">
            <v/>
          </cell>
          <cell r="I191" t="str">
            <v>Y</v>
          </cell>
          <cell r="J191" t="str">
            <v>Y</v>
          </cell>
          <cell r="K191" t="str">
            <v>N</v>
          </cell>
          <cell r="L191" t="str">
            <v>할인율</v>
          </cell>
          <cell r="M191">
            <v>0</v>
          </cell>
          <cell r="N191" t="str">
            <v>Y</v>
          </cell>
          <cell r="O191" t="str">
            <v>해당없음</v>
          </cell>
          <cell r="P191" t="str">
            <v/>
          </cell>
          <cell r="Q191" t="str">
            <v>N</v>
          </cell>
          <cell r="R191">
            <v>510606</v>
          </cell>
        </row>
        <row r="192">
          <cell r="A192">
            <v>249911</v>
          </cell>
          <cell r="B192" t="str">
            <v>진로 토닉워터 300ml 24개</v>
          </cell>
          <cell r="C192" t="str">
            <v>101045</v>
          </cell>
          <cell r="D192" t="str">
            <v>식품 &gt; 생수/음료/커피 &gt; 음료 &gt; 탄산음료 &gt; 기타탄산음료</v>
          </cell>
          <cell r="E192" t="str">
            <v>102802</v>
          </cell>
          <cell r="F192" t="str">
            <v>기본카테고리 &gt; 가공식품 &gt; 음료/파우더/시럽 &gt; 탄산음료/기타음료</v>
          </cell>
          <cell r="G192" t="str">
            <v>2023-06-07 17:17:08</v>
          </cell>
          <cell r="H192" t="str">
            <v/>
          </cell>
          <cell r="I192" t="str">
            <v>Y</v>
          </cell>
          <cell r="J192" t="str">
            <v>Y</v>
          </cell>
          <cell r="K192" t="str">
            <v>N</v>
          </cell>
          <cell r="L192" t="str">
            <v>할인율</v>
          </cell>
          <cell r="M192">
            <v>0</v>
          </cell>
          <cell r="N192" t="str">
            <v>Y</v>
          </cell>
          <cell r="O192" t="str">
            <v>해당없음</v>
          </cell>
          <cell r="P192" t="str">
            <v/>
          </cell>
          <cell r="Q192" t="str">
            <v>N</v>
          </cell>
          <cell r="R192">
            <v>510604</v>
          </cell>
        </row>
        <row r="193">
          <cell r="A193">
            <v>249910</v>
          </cell>
          <cell r="B193" t="str">
            <v>하이트진로 토닉워터 홍차 제로 300ml PET 24입</v>
          </cell>
          <cell r="C193" t="str">
            <v>101045</v>
          </cell>
          <cell r="D193" t="str">
            <v>식품 &gt; 생수/음료/커피 &gt; 음료 &gt; 탄산음료 &gt; 기타탄산음료</v>
          </cell>
          <cell r="E193" t="str">
            <v>102802</v>
          </cell>
          <cell r="F193" t="str">
            <v>기본카테고리 &gt; 가공식품 &gt; 음료/파우더/시럽 &gt; 탄산음료/기타음료</v>
          </cell>
          <cell r="G193" t="str">
            <v>2023-06-07 17:17:08</v>
          </cell>
          <cell r="H193" t="str">
            <v/>
          </cell>
          <cell r="I193" t="str">
            <v>Y</v>
          </cell>
          <cell r="J193" t="str">
            <v>Y</v>
          </cell>
          <cell r="K193" t="str">
            <v>N</v>
          </cell>
          <cell r="L193" t="str">
            <v>할인율</v>
          </cell>
          <cell r="M193">
            <v>0</v>
          </cell>
          <cell r="N193" t="str">
            <v>Y</v>
          </cell>
          <cell r="O193" t="str">
            <v>해당없음</v>
          </cell>
          <cell r="P193" t="str">
            <v/>
          </cell>
          <cell r="Q193" t="str">
            <v>N</v>
          </cell>
          <cell r="R193">
            <v>510603</v>
          </cell>
        </row>
        <row r="194">
          <cell r="A194">
            <v>249909</v>
          </cell>
          <cell r="B194" t="str">
            <v>광동 옥수수수염차 340ml 20개</v>
          </cell>
          <cell r="C194" t="str">
            <v>101036</v>
          </cell>
          <cell r="D194" t="str">
            <v>식품 &gt; 생수/음료/커피 &gt; 음료 &gt; 전통/차음료 &gt; 옥수수차음료</v>
          </cell>
          <cell r="E194" t="str">
            <v>102802</v>
          </cell>
          <cell r="F194" t="str">
            <v>기본카테고리 &gt; 가공식품 &gt; 음료/파우더/시럽 &gt; 탄산음료/기타음료</v>
          </cell>
          <cell r="G194" t="str">
            <v>2023-06-07 17:17:08</v>
          </cell>
          <cell r="H194" t="str">
            <v/>
          </cell>
          <cell r="I194" t="str">
            <v>Y</v>
          </cell>
          <cell r="J194" t="str">
            <v>Y</v>
          </cell>
          <cell r="K194" t="str">
            <v>N</v>
          </cell>
          <cell r="L194" t="str">
            <v>할인율</v>
          </cell>
          <cell r="M194">
            <v>0</v>
          </cell>
          <cell r="N194" t="str">
            <v>Y</v>
          </cell>
          <cell r="O194" t="str">
            <v>해당없음</v>
          </cell>
          <cell r="P194" t="str">
            <v/>
          </cell>
          <cell r="Q194" t="str">
            <v>N</v>
          </cell>
          <cell r="R194">
            <v>510602</v>
          </cell>
        </row>
        <row r="195">
          <cell r="A195">
            <v>249908</v>
          </cell>
          <cell r="B195" t="str">
            <v>롯데칠성 핫식스 355ml  24캔</v>
          </cell>
          <cell r="C195" t="str">
            <v>101024</v>
          </cell>
          <cell r="D195" t="str">
            <v>식품 &gt; 생수/음료/커피 &gt; 음료 &gt; 건강/기능성음료 &gt; 에너지음료</v>
          </cell>
          <cell r="E195" t="str">
            <v>102802</v>
          </cell>
          <cell r="F195" t="str">
            <v>기본카테고리 &gt; 가공식품 &gt; 음료/파우더/시럽 &gt; 탄산음료/기타음료</v>
          </cell>
          <cell r="G195" t="str">
            <v>2023-06-07 17:17:08</v>
          </cell>
          <cell r="H195" t="str">
            <v/>
          </cell>
          <cell r="I195" t="str">
            <v>Y</v>
          </cell>
          <cell r="J195" t="str">
            <v>Y</v>
          </cell>
          <cell r="K195" t="str">
            <v>N</v>
          </cell>
          <cell r="L195" t="str">
            <v>할인율</v>
          </cell>
          <cell r="M195">
            <v>0</v>
          </cell>
          <cell r="N195" t="str">
            <v>Y</v>
          </cell>
          <cell r="O195" t="str">
            <v>해당없음</v>
          </cell>
          <cell r="P195" t="str">
            <v/>
          </cell>
          <cell r="Q195" t="str">
            <v>N</v>
          </cell>
          <cell r="R195">
            <v>510601</v>
          </cell>
        </row>
        <row r="196">
          <cell r="A196">
            <v>249907</v>
          </cell>
          <cell r="B196" t="str">
            <v>코카콜라 제로 500ml 24개</v>
          </cell>
          <cell r="C196" t="str">
            <v>101045</v>
          </cell>
          <cell r="D196" t="str">
            <v>식품 &gt; 생수/음료/커피 &gt; 음료 &gt; 탄산음료 &gt; 기타탄산음료</v>
          </cell>
          <cell r="E196" t="str">
            <v>102802</v>
          </cell>
          <cell r="F196" t="str">
            <v>기본카테고리 &gt; 가공식품 &gt; 음료/파우더/시럽 &gt; 탄산음료/기타음료</v>
          </cell>
          <cell r="G196" t="str">
            <v>2023-06-07 17:17:08</v>
          </cell>
          <cell r="H196" t="str">
            <v/>
          </cell>
          <cell r="I196" t="str">
            <v>Y</v>
          </cell>
          <cell r="J196" t="str">
            <v>Y</v>
          </cell>
          <cell r="K196" t="str">
            <v>N</v>
          </cell>
          <cell r="L196" t="str">
            <v>할인율</v>
          </cell>
          <cell r="M196">
            <v>0</v>
          </cell>
          <cell r="N196" t="str">
            <v>Y</v>
          </cell>
          <cell r="O196" t="str">
            <v>해당없음</v>
          </cell>
          <cell r="P196" t="str">
            <v/>
          </cell>
          <cell r="Q196" t="str">
            <v>N</v>
          </cell>
          <cell r="R196">
            <v>510600</v>
          </cell>
        </row>
        <row r="197">
          <cell r="A197">
            <v>249906</v>
          </cell>
          <cell r="B197" t="str">
            <v>해태 코코팜 화이트요구르트 캔 340ml 24개</v>
          </cell>
          <cell r="C197" t="str">
            <v>101045</v>
          </cell>
          <cell r="D197" t="str">
            <v>식품 &gt; 생수/음료/커피 &gt; 음료 &gt; 탄산음료 &gt; 기타탄산음료</v>
          </cell>
          <cell r="E197" t="str">
            <v>102802</v>
          </cell>
          <cell r="F197" t="str">
            <v>기본카테고리 &gt; 가공식품 &gt; 음료/파우더/시럽 &gt; 탄산음료/기타음료</v>
          </cell>
          <cell r="G197" t="str">
            <v>2023-06-07 17:17:08</v>
          </cell>
          <cell r="H197" t="str">
            <v/>
          </cell>
          <cell r="I197" t="str">
            <v>Y</v>
          </cell>
          <cell r="J197" t="str">
            <v>Y</v>
          </cell>
          <cell r="K197" t="str">
            <v>N</v>
          </cell>
          <cell r="L197" t="str">
            <v>할인율</v>
          </cell>
          <cell r="M197">
            <v>0</v>
          </cell>
          <cell r="N197" t="str">
            <v>Y</v>
          </cell>
          <cell r="O197" t="str">
            <v>해당없음</v>
          </cell>
          <cell r="P197" t="str">
            <v/>
          </cell>
          <cell r="Q197" t="str">
            <v>N</v>
          </cell>
          <cell r="R197">
            <v>510599</v>
          </cell>
        </row>
        <row r="198">
          <cell r="A198">
            <v>249905</v>
          </cell>
          <cell r="B198" t="str">
            <v>해태 코코팜 포도 340ml 캔 24개</v>
          </cell>
          <cell r="C198" t="str">
            <v>101045</v>
          </cell>
          <cell r="D198" t="str">
            <v>식품 &gt; 생수/음료/커피 &gt; 음료 &gt; 탄산음료 &gt; 기타탄산음료</v>
          </cell>
          <cell r="E198" t="str">
            <v>102802</v>
          </cell>
          <cell r="F198" t="str">
            <v>기본카테고리 &gt; 가공식품 &gt; 음료/파우더/시럽 &gt; 탄산음료/기타음료</v>
          </cell>
          <cell r="G198" t="str">
            <v>2023-06-07 17:17:08</v>
          </cell>
          <cell r="H198" t="str">
            <v/>
          </cell>
          <cell r="I198" t="str">
            <v>Y</v>
          </cell>
          <cell r="J198" t="str">
            <v>Y</v>
          </cell>
          <cell r="K198" t="str">
            <v>N</v>
          </cell>
          <cell r="L198" t="str">
            <v>할인율</v>
          </cell>
          <cell r="M198">
            <v>0</v>
          </cell>
          <cell r="N198" t="str">
            <v>Y</v>
          </cell>
          <cell r="O198" t="str">
            <v>해당없음</v>
          </cell>
          <cell r="P198" t="str">
            <v/>
          </cell>
          <cell r="Q198" t="str">
            <v>N</v>
          </cell>
          <cell r="R198">
            <v>510598</v>
          </cell>
        </row>
        <row r="199">
          <cell r="A199">
            <v>249904</v>
          </cell>
          <cell r="B199" t="str">
            <v>롯데칠성 사이다 캔 250ml 30개</v>
          </cell>
          <cell r="C199" t="str">
            <v>101042</v>
          </cell>
          <cell r="D199" t="str">
            <v>식품 &gt; 생수/음료/커피 &gt; 음료 &gt; 탄산음료 &gt; 사이다</v>
          </cell>
          <cell r="E199" t="str">
            <v>102802</v>
          </cell>
          <cell r="F199" t="str">
            <v>기본카테고리 &gt; 가공식품 &gt; 음료/파우더/시럽 &gt; 탄산음료/기타음료</v>
          </cell>
          <cell r="G199" t="str">
            <v>2023-06-07 17:17:08</v>
          </cell>
          <cell r="H199" t="str">
            <v/>
          </cell>
          <cell r="I199" t="str">
            <v>Y</v>
          </cell>
          <cell r="J199" t="str">
            <v>Y</v>
          </cell>
          <cell r="K199" t="str">
            <v>N</v>
          </cell>
          <cell r="L199" t="str">
            <v>할인율</v>
          </cell>
          <cell r="M199">
            <v>0</v>
          </cell>
          <cell r="N199" t="str">
            <v>Y</v>
          </cell>
          <cell r="O199" t="str">
            <v>해당없음</v>
          </cell>
          <cell r="P199" t="str">
            <v/>
          </cell>
          <cell r="Q199" t="str">
            <v>N</v>
          </cell>
          <cell r="R199">
            <v>510597</v>
          </cell>
        </row>
        <row r="200">
          <cell r="A200">
            <v>249903</v>
          </cell>
          <cell r="B200" t="str">
            <v>팔도 뽀로로 사과맛 235ml 24개</v>
          </cell>
          <cell r="C200" t="str">
            <v>108140</v>
          </cell>
          <cell r="D200" t="str">
            <v>출산/유아동 &gt; 분유/유아식품 &gt; 영유아식품 &gt; 유아간식/음료 &gt; 과즙/음료 &gt; 기타유아음료</v>
          </cell>
          <cell r="E200" t="str">
            <v>102802</v>
          </cell>
          <cell r="F200" t="str">
            <v>기본카테고리 &gt; 가공식품 &gt; 음료/파우더/시럽 &gt; 탄산음료/기타음료</v>
          </cell>
          <cell r="G200" t="str">
            <v>2023-06-07 17:17:08</v>
          </cell>
          <cell r="H200" t="str">
            <v/>
          </cell>
          <cell r="I200" t="str">
            <v>Y</v>
          </cell>
          <cell r="J200" t="str">
            <v>Y</v>
          </cell>
          <cell r="K200" t="str">
            <v>N</v>
          </cell>
          <cell r="L200" t="str">
            <v>할인율</v>
          </cell>
          <cell r="M200">
            <v>0</v>
          </cell>
          <cell r="N200" t="str">
            <v>Y</v>
          </cell>
          <cell r="O200" t="str">
            <v>해당없음</v>
          </cell>
          <cell r="P200" t="str">
            <v/>
          </cell>
          <cell r="Q200" t="str">
            <v>N</v>
          </cell>
          <cell r="R200">
            <v>510596</v>
          </cell>
        </row>
        <row r="201">
          <cell r="A201">
            <v>249902</v>
          </cell>
          <cell r="B201" t="str">
            <v>팔도 뽀로로 딸기맛 235ml 24개</v>
          </cell>
          <cell r="C201" t="str">
            <v>108140</v>
          </cell>
          <cell r="D201" t="str">
            <v>출산/유아동 &gt; 분유/유아식품 &gt; 영유아식품 &gt; 유아간식/음료 &gt; 과즙/음료 &gt; 기타유아음료</v>
          </cell>
          <cell r="E201" t="str">
            <v>102802</v>
          </cell>
          <cell r="F201" t="str">
            <v>기본카테고리 &gt; 가공식품 &gt; 음료/파우더/시럽 &gt; 탄산음료/기타음료</v>
          </cell>
          <cell r="G201" t="str">
            <v>2023-06-07 17:17:08</v>
          </cell>
          <cell r="H201" t="str">
            <v/>
          </cell>
          <cell r="I201" t="str">
            <v>Y</v>
          </cell>
          <cell r="J201" t="str">
            <v>Y</v>
          </cell>
          <cell r="K201" t="str">
            <v>N</v>
          </cell>
          <cell r="L201" t="str">
            <v>할인율</v>
          </cell>
          <cell r="M201">
            <v>0</v>
          </cell>
          <cell r="N201" t="str">
            <v>Y</v>
          </cell>
          <cell r="O201" t="str">
            <v>해당없음</v>
          </cell>
          <cell r="P201" t="str">
            <v/>
          </cell>
          <cell r="Q201" t="str">
            <v>N</v>
          </cell>
          <cell r="R201">
            <v>510595</v>
          </cell>
        </row>
        <row r="202">
          <cell r="A202">
            <v>249901</v>
          </cell>
          <cell r="B202" t="str">
            <v>귀여운 내친구 뽀로로 샤인머스켓맛 235ml 24개</v>
          </cell>
          <cell r="C202" t="str">
            <v>108140</v>
          </cell>
          <cell r="D202" t="str">
            <v>출산/유아동 &gt; 분유/유아식품 &gt; 영유아식품 &gt; 유아간식/음료 &gt; 과즙/음료 &gt; 기타유아음료</v>
          </cell>
          <cell r="E202" t="str">
            <v>102802</v>
          </cell>
          <cell r="F202" t="str">
            <v>기본카테고리 &gt; 가공식품 &gt; 음료/파우더/시럽 &gt; 탄산음료/기타음료</v>
          </cell>
          <cell r="G202" t="str">
            <v>2023-06-07 17:17:08</v>
          </cell>
          <cell r="H202" t="str">
            <v/>
          </cell>
          <cell r="I202" t="str">
            <v>Y</v>
          </cell>
          <cell r="J202" t="str">
            <v>Y</v>
          </cell>
          <cell r="K202" t="str">
            <v>N</v>
          </cell>
          <cell r="L202" t="str">
            <v>할인율</v>
          </cell>
          <cell r="M202">
            <v>0</v>
          </cell>
          <cell r="N202" t="str">
            <v>Y</v>
          </cell>
          <cell r="O202" t="str">
            <v>해당없음</v>
          </cell>
          <cell r="P202" t="str">
            <v/>
          </cell>
          <cell r="Q202" t="str">
            <v>N</v>
          </cell>
          <cell r="R202">
            <v>510594</v>
          </cell>
        </row>
        <row r="203">
          <cell r="A203">
            <v>249900</v>
          </cell>
          <cell r="B203" t="str">
            <v>팔도 뽀로로 밀크맛 235ml 24개</v>
          </cell>
          <cell r="C203" t="str">
            <v>108140</v>
          </cell>
          <cell r="D203" t="str">
            <v>출산/유아동 &gt; 분유/유아식품 &gt; 영유아식품 &gt; 유아간식/음료 &gt; 과즙/음료 &gt; 기타유아음료</v>
          </cell>
          <cell r="E203" t="str">
            <v>102802</v>
          </cell>
          <cell r="F203" t="str">
            <v>기본카테고리 &gt; 가공식품 &gt; 음료/파우더/시럽 &gt; 탄산음료/기타음료</v>
          </cell>
          <cell r="G203" t="str">
            <v>2023-06-07 17:17:08</v>
          </cell>
          <cell r="H203" t="str">
            <v/>
          </cell>
          <cell r="I203" t="str">
            <v>Y</v>
          </cell>
          <cell r="J203" t="str">
            <v>Y</v>
          </cell>
          <cell r="K203" t="str">
            <v>N</v>
          </cell>
          <cell r="L203" t="str">
            <v>할인율</v>
          </cell>
          <cell r="M203">
            <v>0</v>
          </cell>
          <cell r="N203" t="str">
            <v>Y</v>
          </cell>
          <cell r="O203" t="str">
            <v>해당없음</v>
          </cell>
          <cell r="P203" t="str">
            <v/>
          </cell>
          <cell r="Q203" t="str">
            <v>N</v>
          </cell>
          <cell r="R203">
            <v>510593</v>
          </cell>
        </row>
        <row r="204">
          <cell r="A204">
            <v>249899</v>
          </cell>
          <cell r="B204" t="str">
            <v>일화 천연사이다 250ml 30개</v>
          </cell>
          <cell r="C204" t="str">
            <v>101045</v>
          </cell>
          <cell r="D204" t="str">
            <v>식품 &gt; 생수/음료/커피 &gt; 음료 &gt; 탄산음료 &gt; 기타탄산음료</v>
          </cell>
          <cell r="E204" t="str">
            <v>102802</v>
          </cell>
          <cell r="F204" t="str">
            <v>기본카테고리 &gt; 가공식품 &gt; 음료/파우더/시럽 &gt; 탄산음료/기타음료</v>
          </cell>
          <cell r="G204" t="str">
            <v>2023-06-07 17:17:08</v>
          </cell>
          <cell r="H204" t="str">
            <v/>
          </cell>
          <cell r="I204" t="str">
            <v>Y</v>
          </cell>
          <cell r="J204" t="str">
            <v>Y</v>
          </cell>
          <cell r="K204" t="str">
            <v>N</v>
          </cell>
          <cell r="L204" t="str">
            <v>할인율</v>
          </cell>
          <cell r="M204">
            <v>0</v>
          </cell>
          <cell r="N204" t="str">
            <v>Y</v>
          </cell>
          <cell r="O204" t="str">
            <v>해당없음</v>
          </cell>
          <cell r="P204" t="str">
            <v/>
          </cell>
          <cell r="Q204" t="str">
            <v>N</v>
          </cell>
          <cell r="R204">
            <v>510592</v>
          </cell>
        </row>
        <row r="205">
          <cell r="A205">
            <v>249898</v>
          </cell>
          <cell r="B205" t="str">
            <v>동아 나랑드사이다 제로 500ml 24개</v>
          </cell>
          <cell r="C205" t="str">
            <v>101042</v>
          </cell>
          <cell r="D205" t="str">
            <v>식품 &gt; 생수/음료/커피 &gt; 음료 &gt; 탄산음료 &gt; 사이다</v>
          </cell>
          <cell r="E205" t="str">
            <v>102802</v>
          </cell>
          <cell r="F205" t="str">
            <v>기본카테고리 &gt; 가공식품 &gt; 음료/파우더/시럽 &gt; 탄산음료/기타음료</v>
          </cell>
          <cell r="G205" t="str">
            <v>2023-06-07 17:17:08</v>
          </cell>
          <cell r="H205" t="str">
            <v/>
          </cell>
          <cell r="I205" t="str">
            <v>Y</v>
          </cell>
          <cell r="J205" t="str">
            <v>Y</v>
          </cell>
          <cell r="K205" t="str">
            <v>N</v>
          </cell>
          <cell r="L205" t="str">
            <v>할인율</v>
          </cell>
          <cell r="M205">
            <v>0</v>
          </cell>
          <cell r="N205" t="str">
            <v>Y</v>
          </cell>
          <cell r="O205" t="str">
            <v>해당없음</v>
          </cell>
          <cell r="P205" t="str">
            <v/>
          </cell>
          <cell r="Q205" t="str">
            <v>N</v>
          </cell>
          <cell r="R205">
            <v>510591</v>
          </cell>
        </row>
        <row r="206">
          <cell r="A206">
            <v>249897</v>
          </cell>
          <cell r="B206" t="str">
            <v>스프라이트 500ml 24개(업소용)</v>
          </cell>
          <cell r="C206" t="str">
            <v>101042</v>
          </cell>
          <cell r="D206" t="str">
            <v>식품 &gt; 생수/음료/커피 &gt; 음료 &gt; 탄산음료 &gt; 사이다</v>
          </cell>
          <cell r="E206" t="str">
            <v>102802</v>
          </cell>
          <cell r="F206" t="str">
            <v>기본카테고리 &gt; 가공식품 &gt; 음료/파우더/시럽 &gt; 탄산음료/기타음료</v>
          </cell>
          <cell r="G206" t="str">
            <v>2023-06-07 17:17:08</v>
          </cell>
          <cell r="H206" t="str">
            <v/>
          </cell>
          <cell r="I206" t="str">
            <v>Y</v>
          </cell>
          <cell r="J206" t="str">
            <v>Y</v>
          </cell>
          <cell r="K206" t="str">
            <v>N</v>
          </cell>
          <cell r="L206" t="str">
            <v>할인율</v>
          </cell>
          <cell r="M206">
            <v>0</v>
          </cell>
          <cell r="N206" t="str">
            <v>Y</v>
          </cell>
          <cell r="O206" t="str">
            <v>해당없음</v>
          </cell>
          <cell r="P206" t="str">
            <v/>
          </cell>
          <cell r="Q206" t="str">
            <v>N</v>
          </cell>
          <cell r="R206">
            <v>510590</v>
          </cell>
        </row>
        <row r="207">
          <cell r="A207">
            <v>249896</v>
          </cell>
          <cell r="B207" t="str">
            <v>스프라이트 250ml 30개</v>
          </cell>
          <cell r="C207" t="str">
            <v>101042</v>
          </cell>
          <cell r="D207" t="str">
            <v>식품 &gt; 생수/음료/커피 &gt; 음료 &gt; 탄산음료 &gt; 사이다</v>
          </cell>
          <cell r="E207" t="str">
            <v>102802</v>
          </cell>
          <cell r="F207" t="str">
            <v>기본카테고리 &gt; 가공식품 &gt; 음료/파우더/시럽 &gt; 탄산음료/기타음료</v>
          </cell>
          <cell r="G207" t="str">
            <v>2023-06-07 17:17:08</v>
          </cell>
          <cell r="H207" t="str">
            <v/>
          </cell>
          <cell r="I207" t="str">
            <v>Y</v>
          </cell>
          <cell r="J207" t="str">
            <v>Y</v>
          </cell>
          <cell r="K207" t="str">
            <v>N</v>
          </cell>
          <cell r="L207" t="str">
            <v>할인율</v>
          </cell>
          <cell r="M207">
            <v>0</v>
          </cell>
          <cell r="N207" t="str">
            <v>Y</v>
          </cell>
          <cell r="O207" t="str">
            <v>해당없음</v>
          </cell>
          <cell r="P207" t="str">
            <v/>
          </cell>
          <cell r="Q207" t="str">
            <v>N</v>
          </cell>
          <cell r="R207">
            <v>510589</v>
          </cell>
        </row>
        <row r="208">
          <cell r="A208">
            <v>249894</v>
          </cell>
          <cell r="B208" t="str">
            <v>진로 토닉워터 캔 250ml 30개</v>
          </cell>
          <cell r="C208" t="str">
            <v>101045</v>
          </cell>
          <cell r="D208" t="str">
            <v>식품 &gt; 생수/음료/커피 &gt; 음료 &gt; 탄산음료 &gt; 기타탄산음료</v>
          </cell>
          <cell r="E208" t="str">
            <v>102802</v>
          </cell>
          <cell r="F208" t="str">
            <v>기본카테고리 &gt; 가공식품 &gt; 음료/파우더/시럽 &gt; 탄산음료/기타음료</v>
          </cell>
          <cell r="G208" t="str">
            <v>2023-06-07 17:17:08</v>
          </cell>
          <cell r="H208" t="str">
            <v/>
          </cell>
          <cell r="I208" t="str">
            <v>Y</v>
          </cell>
          <cell r="J208" t="str">
            <v>Y</v>
          </cell>
          <cell r="K208" t="str">
            <v>N</v>
          </cell>
          <cell r="L208" t="str">
            <v>할인율</v>
          </cell>
          <cell r="M208">
            <v>0</v>
          </cell>
          <cell r="N208" t="str">
            <v>Y</v>
          </cell>
          <cell r="O208" t="str">
            <v>해당없음</v>
          </cell>
          <cell r="P208" t="str">
            <v/>
          </cell>
          <cell r="Q208" t="str">
            <v>N</v>
          </cell>
          <cell r="R208">
            <v>510587</v>
          </cell>
        </row>
        <row r="209">
          <cell r="A209">
            <v>249893</v>
          </cell>
          <cell r="B209" t="str">
            <v>일화 맥콜 캔 190ml 30개</v>
          </cell>
          <cell r="C209" t="str">
            <v>101045</v>
          </cell>
          <cell r="D209" t="str">
            <v>식품 &gt; 생수/음료/커피 &gt; 음료 &gt; 탄산음료 &gt; 기타탄산음료</v>
          </cell>
          <cell r="E209" t="str">
            <v>102802</v>
          </cell>
          <cell r="F209" t="str">
            <v>기본카테고리 &gt; 가공식품 &gt; 음료/파우더/시럽 &gt; 탄산음료/기타음료</v>
          </cell>
          <cell r="G209" t="str">
            <v>2023-06-07 17:17:08</v>
          </cell>
          <cell r="H209" t="str">
            <v/>
          </cell>
          <cell r="I209" t="str">
            <v>Y</v>
          </cell>
          <cell r="J209" t="str">
            <v>Y</v>
          </cell>
          <cell r="K209" t="str">
            <v>N</v>
          </cell>
          <cell r="L209" t="str">
            <v>할인율</v>
          </cell>
          <cell r="M209">
            <v>0</v>
          </cell>
          <cell r="N209" t="str">
            <v>Y</v>
          </cell>
          <cell r="O209" t="str">
            <v>해당없음</v>
          </cell>
          <cell r="P209" t="str">
            <v/>
          </cell>
          <cell r="Q209" t="str">
            <v>N</v>
          </cell>
          <cell r="R209">
            <v>510586</v>
          </cell>
        </row>
        <row r="210">
          <cell r="A210">
            <v>249891</v>
          </cell>
          <cell r="B210" t="str">
            <v>롯데칠성 사이다 1.5L 12개</v>
          </cell>
          <cell r="C210" t="str">
            <v>101042</v>
          </cell>
          <cell r="D210" t="str">
            <v>식품 &gt; 생수/음료/커피 &gt; 음료 &gt; 탄산음료 &gt; 사이다</v>
          </cell>
          <cell r="E210" t="str">
            <v>102802</v>
          </cell>
          <cell r="F210" t="str">
            <v>기본카테고리 &gt; 가공식품 &gt; 음료/파우더/시럽 &gt; 탄산음료/기타음료</v>
          </cell>
          <cell r="G210" t="str">
            <v>2023-06-07 17:17:08</v>
          </cell>
          <cell r="H210" t="str">
            <v/>
          </cell>
          <cell r="I210" t="str">
            <v>Y</v>
          </cell>
          <cell r="J210" t="str">
            <v>Y</v>
          </cell>
          <cell r="K210" t="str">
            <v>N</v>
          </cell>
          <cell r="L210" t="str">
            <v>할인율</v>
          </cell>
          <cell r="M210">
            <v>0</v>
          </cell>
          <cell r="N210" t="str">
            <v>Y</v>
          </cell>
          <cell r="O210" t="str">
            <v>해당없음</v>
          </cell>
          <cell r="P210" t="str">
            <v/>
          </cell>
          <cell r="Q210" t="str">
            <v>N</v>
          </cell>
          <cell r="R210">
            <v>510584</v>
          </cell>
        </row>
        <row r="211">
          <cell r="A211">
            <v>249889</v>
          </cell>
          <cell r="B211" t="str">
            <v>참맑은 식혜 175ml 30개</v>
          </cell>
          <cell r="C211" t="str">
            <v>101034</v>
          </cell>
          <cell r="D211" t="str">
            <v>식품 &gt; 생수/음료/커피 &gt; 음료 &gt; 전통/차음료 &gt; 식혜</v>
          </cell>
          <cell r="E211" t="str">
            <v>102802</v>
          </cell>
          <cell r="F211" t="str">
            <v>기본카테고리 &gt; 가공식품 &gt; 음료/파우더/시럽 &gt; 탄산음료/기타음료</v>
          </cell>
          <cell r="G211" t="str">
            <v>2023-06-07 17:17:08</v>
          </cell>
          <cell r="H211" t="str">
            <v/>
          </cell>
          <cell r="I211" t="str">
            <v>Y</v>
          </cell>
          <cell r="J211" t="str">
            <v>Y</v>
          </cell>
          <cell r="K211" t="str">
            <v>N</v>
          </cell>
          <cell r="L211" t="str">
            <v>할인율</v>
          </cell>
          <cell r="M211">
            <v>0</v>
          </cell>
          <cell r="N211" t="str">
            <v>Y</v>
          </cell>
          <cell r="O211" t="str">
            <v>해당없음</v>
          </cell>
          <cell r="P211" t="str">
            <v/>
          </cell>
          <cell r="Q211" t="str">
            <v>N</v>
          </cell>
          <cell r="R211">
            <v>510582</v>
          </cell>
        </row>
        <row r="212">
          <cell r="A212">
            <v>249885</v>
          </cell>
          <cell r="B212" t="str">
            <v>롯데칠성 밀키스 1.5L 12개</v>
          </cell>
          <cell r="C212" t="str">
            <v>101045</v>
          </cell>
          <cell r="D212" t="str">
            <v>식품 &gt; 생수/음료/커피 &gt; 음료 &gt; 탄산음료 &gt; 기타탄산음료</v>
          </cell>
          <cell r="E212" t="str">
            <v>102802</v>
          </cell>
          <cell r="F212" t="str">
            <v>기본카테고리 &gt; 가공식품 &gt; 음료/파우더/시럽 &gt; 탄산음료/기타음료</v>
          </cell>
          <cell r="G212" t="str">
            <v>2023-06-07 17:17:08</v>
          </cell>
          <cell r="H212" t="str">
            <v/>
          </cell>
          <cell r="I212" t="str">
            <v>Y</v>
          </cell>
          <cell r="J212" t="str">
            <v>Y</v>
          </cell>
          <cell r="K212" t="str">
            <v>N</v>
          </cell>
          <cell r="L212" t="str">
            <v>할인율</v>
          </cell>
          <cell r="M212">
            <v>0</v>
          </cell>
          <cell r="N212" t="str">
            <v>Y</v>
          </cell>
          <cell r="O212" t="str">
            <v>해당없음</v>
          </cell>
          <cell r="P212" t="str">
            <v/>
          </cell>
          <cell r="Q212" t="str">
            <v>N</v>
          </cell>
          <cell r="R212">
            <v>510578</v>
          </cell>
        </row>
        <row r="213">
          <cell r="A213">
            <v>249883</v>
          </cell>
          <cell r="B213" t="str">
            <v>롯데칠성 밀키스 500ml 20개</v>
          </cell>
          <cell r="C213" t="str">
            <v>101045</v>
          </cell>
          <cell r="D213" t="str">
            <v>식품 &gt; 생수/음료/커피 &gt; 음료 &gt; 탄산음료 &gt; 기타탄산음료</v>
          </cell>
          <cell r="E213" t="str">
            <v>102802</v>
          </cell>
          <cell r="F213" t="str">
            <v>기본카테고리 &gt; 가공식품 &gt; 음료/파우더/시럽 &gt; 탄산음료/기타음료</v>
          </cell>
          <cell r="G213" t="str">
            <v>2023-06-07 17:17:08</v>
          </cell>
          <cell r="H213" t="str">
            <v/>
          </cell>
          <cell r="I213" t="str">
            <v>Y</v>
          </cell>
          <cell r="J213" t="str">
            <v>Y</v>
          </cell>
          <cell r="K213" t="str">
            <v>N</v>
          </cell>
          <cell r="L213" t="str">
            <v>할인율</v>
          </cell>
          <cell r="M213">
            <v>0</v>
          </cell>
          <cell r="N213" t="str">
            <v>Y</v>
          </cell>
          <cell r="O213" t="str">
            <v>해당없음</v>
          </cell>
          <cell r="P213" t="str">
            <v/>
          </cell>
          <cell r="Q213" t="str">
            <v>N</v>
          </cell>
          <cell r="R213">
            <v>510576</v>
          </cell>
        </row>
        <row r="214">
          <cell r="A214">
            <v>249882</v>
          </cell>
          <cell r="B214" t="str">
            <v>참맑은 참대추 175ml 30개</v>
          </cell>
          <cell r="C214" t="str">
            <v>115210</v>
          </cell>
          <cell r="D214" t="str">
            <v>식품 &gt; 생수/음료/커피 &gt; 음료 &gt; 과일/야채음료</v>
          </cell>
          <cell r="E214" t="str">
            <v>102802</v>
          </cell>
          <cell r="F214" t="str">
            <v>기본카테고리 &gt; 가공식품 &gt; 음료/파우더/시럽 &gt; 탄산음료/기타음료</v>
          </cell>
          <cell r="G214" t="str">
            <v>2023-06-07 17:17:08</v>
          </cell>
          <cell r="H214" t="str">
            <v/>
          </cell>
          <cell r="I214" t="str">
            <v>Y</v>
          </cell>
          <cell r="J214" t="str">
            <v>Y</v>
          </cell>
          <cell r="K214" t="str">
            <v>N</v>
          </cell>
          <cell r="L214" t="str">
            <v>할인율</v>
          </cell>
          <cell r="M214">
            <v>0</v>
          </cell>
          <cell r="N214" t="str">
            <v>Y</v>
          </cell>
          <cell r="O214" t="str">
            <v>해당없음</v>
          </cell>
          <cell r="P214" t="str">
            <v/>
          </cell>
          <cell r="Q214" t="str">
            <v>N</v>
          </cell>
          <cell r="R214">
            <v>510575</v>
          </cell>
        </row>
        <row r="215">
          <cell r="A215">
            <v>249881</v>
          </cell>
          <cell r="B215" t="str">
            <v>롯데칠성 사이다 190ml 30개</v>
          </cell>
          <cell r="C215" t="str">
            <v>101042</v>
          </cell>
          <cell r="D215" t="str">
            <v>식품 &gt; 생수/음료/커피 &gt; 음료 &gt; 탄산음료 &gt; 사이다</v>
          </cell>
          <cell r="E215" t="str">
            <v>102802</v>
          </cell>
          <cell r="F215" t="str">
            <v>기본카테고리 &gt; 가공식품 &gt; 음료/파우더/시럽 &gt; 탄산음료/기타음료</v>
          </cell>
          <cell r="G215" t="str">
            <v>2023-06-07 17:17:08</v>
          </cell>
          <cell r="H215" t="str">
            <v/>
          </cell>
          <cell r="I215" t="str">
            <v>Y</v>
          </cell>
          <cell r="J215" t="str">
            <v>Y</v>
          </cell>
          <cell r="K215" t="str">
            <v>N</v>
          </cell>
          <cell r="L215" t="str">
            <v>할인율</v>
          </cell>
          <cell r="M215">
            <v>0</v>
          </cell>
          <cell r="N215" t="str">
            <v>Y</v>
          </cell>
          <cell r="O215" t="str">
            <v>해당없음</v>
          </cell>
          <cell r="P215" t="str">
            <v/>
          </cell>
          <cell r="Q215" t="str">
            <v>N</v>
          </cell>
          <cell r="R215">
            <v>510574</v>
          </cell>
        </row>
        <row r="216">
          <cell r="A216">
            <v>249880</v>
          </cell>
          <cell r="B216" t="str">
            <v>참맑은 제주감귤 캔 175ml 30개</v>
          </cell>
          <cell r="C216" t="str">
            <v>115210</v>
          </cell>
          <cell r="D216" t="str">
            <v>식품 &gt; 생수/음료/커피 &gt; 음료 &gt; 과일/야채음료</v>
          </cell>
          <cell r="E216" t="str">
            <v>102802</v>
          </cell>
          <cell r="F216" t="str">
            <v>기본카테고리 &gt; 가공식품 &gt; 음료/파우더/시럽 &gt; 탄산음료/기타음료</v>
          </cell>
          <cell r="G216" t="str">
            <v>2023-06-07 17:17:08</v>
          </cell>
          <cell r="H216" t="str">
            <v/>
          </cell>
          <cell r="I216" t="str">
            <v>Y</v>
          </cell>
          <cell r="J216" t="str">
            <v>Y</v>
          </cell>
          <cell r="K216" t="str">
            <v>N</v>
          </cell>
          <cell r="L216" t="str">
            <v>할인율</v>
          </cell>
          <cell r="M216">
            <v>0</v>
          </cell>
          <cell r="N216" t="str">
            <v>Y</v>
          </cell>
          <cell r="O216" t="str">
            <v>해당없음</v>
          </cell>
          <cell r="P216" t="str">
            <v/>
          </cell>
          <cell r="Q216" t="str">
            <v>N</v>
          </cell>
          <cell r="R216">
            <v>510573</v>
          </cell>
        </row>
        <row r="217">
          <cell r="A217">
            <v>249879</v>
          </cell>
          <cell r="B217" t="str">
            <v>캐나다드라이 토닉워터 250ml 30개</v>
          </cell>
          <cell r="C217" t="str">
            <v>101045</v>
          </cell>
          <cell r="D217" t="str">
            <v>식품 &gt; 생수/음료/커피 &gt; 음료 &gt; 탄산음료 &gt; 기타탄산음료</v>
          </cell>
          <cell r="E217" t="str">
            <v>102802</v>
          </cell>
          <cell r="F217" t="str">
            <v>기본카테고리 &gt; 가공식품 &gt; 음료/파우더/시럽 &gt; 탄산음료/기타음료</v>
          </cell>
          <cell r="G217" t="str">
            <v>2023-06-07 17:17:08</v>
          </cell>
          <cell r="H217" t="str">
            <v/>
          </cell>
          <cell r="I217" t="str">
            <v>Y</v>
          </cell>
          <cell r="J217" t="str">
            <v>Y</v>
          </cell>
          <cell r="K217" t="str">
            <v>N</v>
          </cell>
          <cell r="L217" t="str">
            <v>할인율</v>
          </cell>
          <cell r="M217">
            <v>0</v>
          </cell>
          <cell r="N217" t="str">
            <v>Y</v>
          </cell>
          <cell r="O217" t="str">
            <v>해당없음</v>
          </cell>
          <cell r="P217" t="str">
            <v/>
          </cell>
          <cell r="Q217" t="str">
            <v>N</v>
          </cell>
          <cell r="R217">
            <v>510572</v>
          </cell>
        </row>
        <row r="218">
          <cell r="A218">
            <v>249878</v>
          </cell>
          <cell r="B218" t="str">
            <v>캐나다드라이 클럽소다 250ml 30개</v>
          </cell>
          <cell r="C218" t="str">
            <v>101045</v>
          </cell>
          <cell r="D218" t="str">
            <v>식품 &gt; 생수/음료/커피 &gt; 음료 &gt; 탄산음료 &gt; 기타탄산음료</v>
          </cell>
          <cell r="E218" t="str">
            <v>102802</v>
          </cell>
          <cell r="F218" t="str">
            <v>기본카테고리 &gt; 가공식품 &gt; 음료/파우더/시럽 &gt; 탄산음료/기타음료</v>
          </cell>
          <cell r="G218" t="str">
            <v>2023-06-07 17:17:08</v>
          </cell>
          <cell r="H218" t="str">
            <v/>
          </cell>
          <cell r="I218" t="str">
            <v>Y</v>
          </cell>
          <cell r="J218" t="str">
            <v>Y</v>
          </cell>
          <cell r="K218" t="str">
            <v>N</v>
          </cell>
          <cell r="L218" t="str">
            <v>할인율</v>
          </cell>
          <cell r="M218">
            <v>0</v>
          </cell>
          <cell r="N218" t="str">
            <v>Y</v>
          </cell>
          <cell r="O218" t="str">
            <v>해당없음</v>
          </cell>
          <cell r="P218" t="str">
            <v/>
          </cell>
          <cell r="Q218" t="str">
            <v>N</v>
          </cell>
          <cell r="R218">
            <v>510571</v>
          </cell>
        </row>
        <row r="219">
          <cell r="A219">
            <v>249877</v>
          </cell>
          <cell r="B219" t="str">
            <v>코카콜라 1.5L 12개</v>
          </cell>
          <cell r="C219" t="str">
            <v>101045</v>
          </cell>
          <cell r="D219" t="str">
            <v>식품 &gt; 생수/음료/커피 &gt; 음료 &gt; 탄산음료 &gt; 기타탄산음료</v>
          </cell>
          <cell r="E219" t="str">
            <v>102802</v>
          </cell>
          <cell r="F219" t="str">
            <v>기본카테고리 &gt; 가공식품 &gt; 음료/파우더/시럽 &gt; 탄산음료/기타음료</v>
          </cell>
          <cell r="G219" t="str">
            <v>2023-06-07 17:17:08</v>
          </cell>
          <cell r="H219" t="str">
            <v/>
          </cell>
          <cell r="I219" t="str">
            <v>Y</v>
          </cell>
          <cell r="J219" t="str">
            <v>Y</v>
          </cell>
          <cell r="K219" t="str">
            <v>N</v>
          </cell>
          <cell r="L219" t="str">
            <v>할인율</v>
          </cell>
          <cell r="M219">
            <v>0</v>
          </cell>
          <cell r="N219" t="str">
            <v>Y</v>
          </cell>
          <cell r="O219" t="str">
            <v>해당없음</v>
          </cell>
          <cell r="P219" t="str">
            <v/>
          </cell>
          <cell r="Q219" t="str">
            <v>N</v>
          </cell>
          <cell r="R219">
            <v>510570</v>
          </cell>
        </row>
        <row r="220">
          <cell r="A220">
            <v>249876</v>
          </cell>
          <cell r="B220" t="str">
            <v>코카콜라 250ml 30개</v>
          </cell>
          <cell r="C220" t="str">
            <v>101045</v>
          </cell>
          <cell r="D220" t="str">
            <v>식품 &gt; 생수/음료/커피 &gt; 음료 &gt; 탄산음료 &gt; 기타탄산음료</v>
          </cell>
          <cell r="E220" t="str">
            <v>102802</v>
          </cell>
          <cell r="F220" t="str">
            <v>기본카테고리 &gt; 가공식품 &gt; 음료/파우더/시럽 &gt; 탄산음료/기타음료</v>
          </cell>
          <cell r="G220" t="str">
            <v>2023-06-07 17:17:08</v>
          </cell>
          <cell r="H220" t="str">
            <v/>
          </cell>
          <cell r="I220" t="str">
            <v>Y</v>
          </cell>
          <cell r="J220" t="str">
            <v>Y</v>
          </cell>
          <cell r="K220" t="str">
            <v>N</v>
          </cell>
          <cell r="L220" t="str">
            <v>할인율</v>
          </cell>
          <cell r="M220">
            <v>0</v>
          </cell>
          <cell r="N220" t="str">
            <v>Y</v>
          </cell>
          <cell r="O220" t="str">
            <v>해당없음</v>
          </cell>
          <cell r="P220" t="str">
            <v/>
          </cell>
          <cell r="Q220" t="str">
            <v>N</v>
          </cell>
          <cell r="R220">
            <v>510569</v>
          </cell>
        </row>
        <row r="221">
          <cell r="A221">
            <v>249875</v>
          </cell>
          <cell r="B221" t="str">
            <v>일화 헛개차 340ml 20개</v>
          </cell>
          <cell r="C221" t="str">
            <v>101040</v>
          </cell>
          <cell r="D221" t="str">
            <v>식품 &gt; 생수/음료/커피 &gt; 음료 &gt; 전통/차음료 &gt; 기타차음료</v>
          </cell>
          <cell r="E221" t="str">
            <v>102802</v>
          </cell>
          <cell r="F221" t="str">
            <v>기본카테고리 &gt; 가공식품 &gt; 음료/파우더/시럽 &gt; 탄산음료/기타음료</v>
          </cell>
          <cell r="G221" t="str">
            <v>2023-06-07 17:17:08</v>
          </cell>
          <cell r="H221" t="str">
            <v/>
          </cell>
          <cell r="I221" t="str">
            <v>Y</v>
          </cell>
          <cell r="J221" t="str">
            <v>Y</v>
          </cell>
          <cell r="K221" t="str">
            <v>N</v>
          </cell>
          <cell r="L221" t="str">
            <v>할인율</v>
          </cell>
          <cell r="M221">
            <v>0</v>
          </cell>
          <cell r="N221" t="str">
            <v>Y</v>
          </cell>
          <cell r="O221" t="str">
            <v>해당없음</v>
          </cell>
          <cell r="P221" t="str">
            <v/>
          </cell>
          <cell r="Q221" t="str">
            <v>N</v>
          </cell>
          <cell r="R221">
            <v>510568</v>
          </cell>
        </row>
        <row r="222">
          <cell r="A222">
            <v>249874</v>
          </cell>
          <cell r="B222" t="str">
            <v>일화 초정탄산수 1.5L 12개</v>
          </cell>
          <cell r="C222" t="str">
            <v>101045</v>
          </cell>
          <cell r="D222" t="str">
            <v>식품 &gt; 생수/음료/커피 &gt; 음료 &gt; 탄산음료 &gt; 기타탄산음료</v>
          </cell>
          <cell r="E222" t="str">
            <v>102802</v>
          </cell>
          <cell r="F222" t="str">
            <v>기본카테고리 &gt; 가공식품 &gt; 음료/파우더/시럽 &gt; 탄산음료/기타음료</v>
          </cell>
          <cell r="G222" t="str">
            <v>2023-06-07 17:17:08</v>
          </cell>
          <cell r="H222" t="str">
            <v/>
          </cell>
          <cell r="I222" t="str">
            <v>Y</v>
          </cell>
          <cell r="J222" t="str">
            <v>Y</v>
          </cell>
          <cell r="K222" t="str">
            <v>N</v>
          </cell>
          <cell r="L222" t="str">
            <v>할인율</v>
          </cell>
          <cell r="M222">
            <v>0</v>
          </cell>
          <cell r="N222" t="str">
            <v>Y</v>
          </cell>
          <cell r="O222" t="str">
            <v>해당없음</v>
          </cell>
          <cell r="P222" t="str">
            <v/>
          </cell>
          <cell r="Q222" t="str">
            <v>N</v>
          </cell>
          <cell r="R222">
            <v>510567</v>
          </cell>
        </row>
        <row r="223">
          <cell r="A223">
            <v>249871</v>
          </cell>
          <cell r="B223" t="str">
            <v>토레타 240ml 30개</v>
          </cell>
          <cell r="C223" t="str">
            <v>101029</v>
          </cell>
          <cell r="D223" t="str">
            <v>식품 &gt; 생수/음료/커피 &gt; 음료 &gt; 스포츠/이온음료</v>
          </cell>
          <cell r="E223" t="str">
            <v>102802</v>
          </cell>
          <cell r="F223" t="str">
            <v>기본카테고리 &gt; 가공식품 &gt; 음료/파우더/시럽 &gt; 탄산음료/기타음료</v>
          </cell>
          <cell r="G223" t="str">
            <v>2023-06-07 17:17:08</v>
          </cell>
          <cell r="H223" t="str">
            <v/>
          </cell>
          <cell r="I223" t="str">
            <v>Y</v>
          </cell>
          <cell r="J223" t="str">
            <v>Y</v>
          </cell>
          <cell r="K223" t="str">
            <v>N</v>
          </cell>
          <cell r="L223" t="str">
            <v>할인율</v>
          </cell>
          <cell r="M223">
            <v>0</v>
          </cell>
          <cell r="N223" t="str">
            <v>Y</v>
          </cell>
          <cell r="O223" t="str">
            <v>해당없음</v>
          </cell>
          <cell r="P223" t="str">
            <v/>
          </cell>
          <cell r="Q223" t="str">
            <v>N</v>
          </cell>
          <cell r="R223">
            <v>510564</v>
          </cell>
        </row>
        <row r="224">
          <cell r="A224">
            <v>249870</v>
          </cell>
          <cell r="B224" t="str">
            <v>동아오츠카 포카리스웨트 1.5L 12개</v>
          </cell>
          <cell r="C224" t="str">
            <v>101045</v>
          </cell>
          <cell r="D224" t="str">
            <v>식품 &gt; 생수/음료/커피 &gt; 음료 &gt; 탄산음료 &gt; 기타탄산음료</v>
          </cell>
          <cell r="E224" t="str">
            <v>102802</v>
          </cell>
          <cell r="F224" t="str">
            <v>기본카테고리 &gt; 가공식품 &gt; 음료/파우더/시럽 &gt; 탄산음료/기타음료</v>
          </cell>
          <cell r="G224" t="str">
            <v>2023-06-07 17:17:08</v>
          </cell>
          <cell r="H224" t="str">
            <v/>
          </cell>
          <cell r="I224" t="str">
            <v>Y</v>
          </cell>
          <cell r="J224" t="str">
            <v>Y</v>
          </cell>
          <cell r="K224" t="str">
            <v>N</v>
          </cell>
          <cell r="L224" t="str">
            <v>할인율</v>
          </cell>
          <cell r="M224">
            <v>0</v>
          </cell>
          <cell r="N224" t="str">
            <v>Y</v>
          </cell>
          <cell r="O224" t="str">
            <v>해당없음</v>
          </cell>
          <cell r="P224" t="str">
            <v/>
          </cell>
          <cell r="Q224" t="str">
            <v>N</v>
          </cell>
          <cell r="R224">
            <v>510563</v>
          </cell>
        </row>
        <row r="225">
          <cell r="A225">
            <v>249869</v>
          </cell>
          <cell r="B225" t="str">
            <v>이프로 부족할때 제로 240ml 30개</v>
          </cell>
          <cell r="C225" t="str">
            <v>101029</v>
          </cell>
          <cell r="D225" t="str">
            <v>식품 &gt; 생수/음료/커피 &gt; 음료 &gt; 스포츠/이온음료</v>
          </cell>
          <cell r="E225" t="str">
            <v>102802</v>
          </cell>
          <cell r="F225" t="str">
            <v>기본카테고리 &gt; 가공식품 &gt; 음료/파우더/시럽 &gt; 탄산음료/기타음료</v>
          </cell>
          <cell r="G225" t="str">
            <v>2023-06-07 17:17:08</v>
          </cell>
          <cell r="H225" t="str">
            <v/>
          </cell>
          <cell r="I225" t="str">
            <v>Y</v>
          </cell>
          <cell r="J225" t="str">
            <v>Y</v>
          </cell>
          <cell r="K225" t="str">
            <v>N</v>
          </cell>
          <cell r="L225" t="str">
            <v>할인율</v>
          </cell>
          <cell r="M225">
            <v>0</v>
          </cell>
          <cell r="N225" t="str">
            <v>Y</v>
          </cell>
          <cell r="O225" t="str">
            <v>해당없음</v>
          </cell>
          <cell r="P225" t="str">
            <v/>
          </cell>
          <cell r="Q225" t="str">
            <v>N</v>
          </cell>
          <cell r="R225">
            <v>510562</v>
          </cell>
        </row>
        <row r="226">
          <cell r="A226">
            <v>249868</v>
          </cell>
          <cell r="B226" t="str">
            <v>몬스터 에너지 망고로코 355ml 24개</v>
          </cell>
          <cell r="C226" t="str">
            <v>101024</v>
          </cell>
          <cell r="D226" t="str">
            <v>식품 &gt; 생수/음료/커피 &gt; 음료 &gt; 건강/기능성음료 &gt; 에너지음료</v>
          </cell>
          <cell r="E226" t="str">
            <v>102802</v>
          </cell>
          <cell r="F226" t="str">
            <v>기본카테고리 &gt; 가공식품 &gt; 음료/파우더/시럽 &gt; 탄산음료/기타음료</v>
          </cell>
          <cell r="G226" t="str">
            <v>2023-06-07 17:17:08</v>
          </cell>
          <cell r="H226" t="str">
            <v/>
          </cell>
          <cell r="I226" t="str">
            <v>Y</v>
          </cell>
          <cell r="J226" t="str">
            <v>Y</v>
          </cell>
          <cell r="K226" t="str">
            <v>N</v>
          </cell>
          <cell r="L226" t="str">
            <v>할인율</v>
          </cell>
          <cell r="M226">
            <v>0</v>
          </cell>
          <cell r="N226" t="str">
            <v>Y</v>
          </cell>
          <cell r="O226" t="str">
            <v>해당없음</v>
          </cell>
          <cell r="P226" t="str">
            <v/>
          </cell>
          <cell r="Q226" t="str">
            <v>N</v>
          </cell>
          <cell r="R226">
            <v>510561</v>
          </cell>
        </row>
        <row r="227">
          <cell r="A227">
            <v>249867</v>
          </cell>
          <cell r="B227" t="str">
            <v>토레타 500ml 24개</v>
          </cell>
          <cell r="C227" t="str">
            <v>101029</v>
          </cell>
          <cell r="D227" t="str">
            <v>식품 &gt; 생수/음료/커피 &gt; 음료 &gt; 스포츠/이온음료</v>
          </cell>
          <cell r="E227" t="str">
            <v>102802</v>
          </cell>
          <cell r="F227" t="str">
            <v>기본카테고리 &gt; 가공식품 &gt; 음료/파우더/시럽 &gt; 탄산음료/기타음료</v>
          </cell>
          <cell r="G227" t="str">
            <v>2023-06-07 17:17:08</v>
          </cell>
          <cell r="H227" t="str">
            <v/>
          </cell>
          <cell r="I227" t="str">
            <v>Y</v>
          </cell>
          <cell r="J227" t="str">
            <v>Y</v>
          </cell>
          <cell r="K227" t="str">
            <v>N</v>
          </cell>
          <cell r="L227" t="str">
            <v>할인율</v>
          </cell>
          <cell r="M227">
            <v>0</v>
          </cell>
          <cell r="N227" t="str">
            <v>Y</v>
          </cell>
          <cell r="O227" t="str">
            <v>해당없음</v>
          </cell>
          <cell r="P227" t="str">
            <v/>
          </cell>
          <cell r="Q227" t="str">
            <v>N</v>
          </cell>
          <cell r="R227">
            <v>510560</v>
          </cell>
        </row>
        <row r="228">
          <cell r="A228">
            <v>249866</v>
          </cell>
          <cell r="B228" t="str">
            <v>롯데칠성 밀키스 250ml 30개</v>
          </cell>
          <cell r="C228" t="str">
            <v>101045</v>
          </cell>
          <cell r="D228" t="str">
            <v>식품 &gt; 생수/음료/커피 &gt; 음료 &gt; 탄산음료 &gt; 기타탄산음료</v>
          </cell>
          <cell r="E228" t="str">
            <v>102802</v>
          </cell>
          <cell r="F228" t="str">
            <v>기본카테고리 &gt; 가공식품 &gt; 음료/파우더/시럽 &gt; 탄산음료/기타음료</v>
          </cell>
          <cell r="G228" t="str">
            <v>2023-06-07 17:17:08</v>
          </cell>
          <cell r="H228" t="str">
            <v/>
          </cell>
          <cell r="I228" t="str">
            <v>Y</v>
          </cell>
          <cell r="J228" t="str">
            <v>Y</v>
          </cell>
          <cell r="K228" t="str">
            <v>N</v>
          </cell>
          <cell r="L228" t="str">
            <v>할인율</v>
          </cell>
          <cell r="M228">
            <v>0</v>
          </cell>
          <cell r="N228" t="str">
            <v>Y</v>
          </cell>
          <cell r="O228" t="str">
            <v>해당없음</v>
          </cell>
          <cell r="P228" t="str">
            <v/>
          </cell>
          <cell r="Q228" t="str">
            <v>N</v>
          </cell>
          <cell r="R228">
            <v>510559</v>
          </cell>
        </row>
        <row r="229">
          <cell r="A229">
            <v>249865</v>
          </cell>
          <cell r="B229" t="str">
            <v>일화 천연사이다 190ml 30개</v>
          </cell>
          <cell r="C229" t="str">
            <v>101045</v>
          </cell>
          <cell r="D229" t="str">
            <v>식품 &gt; 생수/음료/커피 &gt; 음료 &gt; 탄산음료 &gt; 기타탄산음료</v>
          </cell>
          <cell r="E229" t="str">
            <v>102802</v>
          </cell>
          <cell r="F229" t="str">
            <v>기본카테고리 &gt; 가공식품 &gt; 음료/파우더/시럽 &gt; 탄산음료/기타음료</v>
          </cell>
          <cell r="G229" t="str">
            <v>2023-06-07 17:17:08</v>
          </cell>
          <cell r="H229" t="str">
            <v/>
          </cell>
          <cell r="I229" t="str">
            <v>Y</v>
          </cell>
          <cell r="J229" t="str">
            <v>Y</v>
          </cell>
          <cell r="K229" t="str">
            <v>N</v>
          </cell>
          <cell r="L229" t="str">
            <v>할인율</v>
          </cell>
          <cell r="M229">
            <v>0</v>
          </cell>
          <cell r="N229" t="str">
            <v>Y</v>
          </cell>
          <cell r="O229" t="str">
            <v>해당없음</v>
          </cell>
          <cell r="P229" t="str">
            <v/>
          </cell>
          <cell r="Q229" t="str">
            <v>N</v>
          </cell>
          <cell r="R229">
            <v>510558</v>
          </cell>
        </row>
        <row r="230">
          <cell r="A230">
            <v>249864</v>
          </cell>
          <cell r="B230" t="str">
            <v>코카콜라 제로250ml 30개</v>
          </cell>
          <cell r="C230" t="str">
            <v>101044</v>
          </cell>
          <cell r="D230" t="str">
            <v>식품 &gt; 생수/음료/커피 &gt; 음료 &gt; 탄산음료 &gt; 콜라</v>
          </cell>
          <cell r="E230" t="str">
            <v>102802</v>
          </cell>
          <cell r="F230" t="str">
            <v>기본카테고리 &gt; 가공식품 &gt; 음료/파우더/시럽 &gt; 탄산음료/기타음료</v>
          </cell>
          <cell r="G230" t="str">
            <v>2023-06-07 17:17:08</v>
          </cell>
          <cell r="H230" t="str">
            <v/>
          </cell>
          <cell r="I230" t="str">
            <v>Y</v>
          </cell>
          <cell r="J230" t="str">
            <v>Y</v>
          </cell>
          <cell r="K230" t="str">
            <v>N</v>
          </cell>
          <cell r="L230" t="str">
            <v>할인율</v>
          </cell>
          <cell r="M230">
            <v>0</v>
          </cell>
          <cell r="N230" t="str">
            <v>Y</v>
          </cell>
          <cell r="O230" t="str">
            <v>해당없음</v>
          </cell>
          <cell r="P230" t="str">
            <v/>
          </cell>
          <cell r="Q230" t="str">
            <v>N</v>
          </cell>
          <cell r="R230">
            <v>510557</v>
          </cell>
        </row>
        <row r="231">
          <cell r="A231">
            <v>249863</v>
          </cell>
          <cell r="B231" t="str">
            <v>롯데칠성 펩시콜라 1.5L 12개</v>
          </cell>
          <cell r="C231" t="str">
            <v>101045</v>
          </cell>
          <cell r="D231" t="str">
            <v>식품 &gt; 생수/음료/커피 &gt; 음료 &gt; 탄산음료 &gt; 기타탄산음료</v>
          </cell>
          <cell r="E231" t="str">
            <v>102802</v>
          </cell>
          <cell r="F231" t="str">
            <v>기본카테고리 &gt; 가공식품 &gt; 음료/파우더/시럽 &gt; 탄산음료/기타음료</v>
          </cell>
          <cell r="G231" t="str">
            <v>2023-06-07 17:17:08</v>
          </cell>
          <cell r="H231" t="str">
            <v/>
          </cell>
          <cell r="I231" t="str">
            <v>Y</v>
          </cell>
          <cell r="J231" t="str">
            <v>Y</v>
          </cell>
          <cell r="K231" t="str">
            <v>N</v>
          </cell>
          <cell r="L231" t="str">
            <v>할인율</v>
          </cell>
          <cell r="M231">
            <v>0</v>
          </cell>
          <cell r="N231" t="str">
            <v>Y</v>
          </cell>
          <cell r="O231" t="str">
            <v>해당없음</v>
          </cell>
          <cell r="P231" t="str">
            <v/>
          </cell>
          <cell r="Q231" t="str">
            <v>N</v>
          </cell>
          <cell r="R231">
            <v>510556</v>
          </cell>
        </row>
        <row r="232">
          <cell r="A232">
            <v>249862</v>
          </cell>
          <cell r="B232" t="str">
            <v>비락 수정과 238ml 24개</v>
          </cell>
          <cell r="C232" t="str">
            <v>101033</v>
          </cell>
          <cell r="D232" t="str">
            <v>식품 &gt; 생수/음료/커피 &gt; 음료 &gt; 전통/차음료 &gt; 수정과</v>
          </cell>
          <cell r="E232" t="str">
            <v>102802</v>
          </cell>
          <cell r="F232" t="str">
            <v>기본카테고리 &gt; 가공식품 &gt; 음료/파우더/시럽 &gt; 탄산음료/기타음료</v>
          </cell>
          <cell r="G232" t="str">
            <v>2023-06-07 17:17:08</v>
          </cell>
          <cell r="H232" t="str">
            <v/>
          </cell>
          <cell r="I232" t="str">
            <v>Y</v>
          </cell>
          <cell r="J232" t="str">
            <v>Y</v>
          </cell>
          <cell r="K232" t="str">
            <v>N</v>
          </cell>
          <cell r="L232" t="str">
            <v>할인율</v>
          </cell>
          <cell r="M232">
            <v>0</v>
          </cell>
          <cell r="N232" t="str">
            <v>Y</v>
          </cell>
          <cell r="O232" t="str">
            <v>해당없음</v>
          </cell>
          <cell r="P232" t="str">
            <v/>
          </cell>
          <cell r="Q232" t="str">
            <v>N</v>
          </cell>
          <cell r="R232">
            <v>510555</v>
          </cell>
        </row>
        <row r="233">
          <cell r="A233">
            <v>249861</v>
          </cell>
          <cell r="B233" t="str">
            <v>롯데칠성 마운틴듀 355ml 24개</v>
          </cell>
          <cell r="C233" t="str">
            <v>101045</v>
          </cell>
          <cell r="D233" t="str">
            <v>식품 &gt; 생수/음료/커피 &gt; 음료 &gt; 탄산음료 &gt; 기타탄산음료</v>
          </cell>
          <cell r="E233" t="str">
            <v>102802</v>
          </cell>
          <cell r="F233" t="str">
            <v>기본카테고리 &gt; 가공식품 &gt; 음료/파우더/시럽 &gt; 탄산음료/기타음료</v>
          </cell>
          <cell r="G233" t="str">
            <v>2023-06-07 17:17:08</v>
          </cell>
          <cell r="H233" t="str">
            <v/>
          </cell>
          <cell r="I233" t="str">
            <v>Y</v>
          </cell>
          <cell r="J233" t="str">
            <v>Y</v>
          </cell>
          <cell r="K233" t="str">
            <v>N</v>
          </cell>
          <cell r="L233" t="str">
            <v>할인율</v>
          </cell>
          <cell r="M233">
            <v>0</v>
          </cell>
          <cell r="N233" t="str">
            <v>Y</v>
          </cell>
          <cell r="O233" t="str">
            <v>해당없음</v>
          </cell>
          <cell r="P233" t="str">
            <v/>
          </cell>
          <cell r="Q233" t="str">
            <v>N</v>
          </cell>
          <cell r="R233">
            <v>510554</v>
          </cell>
        </row>
        <row r="234">
          <cell r="A234">
            <v>249860</v>
          </cell>
          <cell r="B234" t="str">
            <v>롯데칠성 밀키스 캔 340ml 24개</v>
          </cell>
          <cell r="C234" t="str">
            <v>101045</v>
          </cell>
          <cell r="D234" t="str">
            <v>식품 &gt; 생수/음료/커피 &gt; 음료 &gt; 탄산음료 &gt; 기타탄산음료</v>
          </cell>
          <cell r="E234" t="str">
            <v>102802</v>
          </cell>
          <cell r="F234" t="str">
            <v>기본카테고리 &gt; 가공식품 &gt; 음료/파우더/시럽 &gt; 탄산음료/기타음료</v>
          </cell>
          <cell r="G234" t="str">
            <v>2023-06-07 17:17:08</v>
          </cell>
          <cell r="H234" t="str">
            <v/>
          </cell>
          <cell r="I234" t="str">
            <v>Y</v>
          </cell>
          <cell r="J234" t="str">
            <v>Y</v>
          </cell>
          <cell r="K234" t="str">
            <v>N</v>
          </cell>
          <cell r="L234" t="str">
            <v>할인율</v>
          </cell>
          <cell r="M234">
            <v>0</v>
          </cell>
          <cell r="N234" t="str">
            <v>Y</v>
          </cell>
          <cell r="O234" t="str">
            <v>해당없음</v>
          </cell>
          <cell r="P234" t="str">
            <v/>
          </cell>
          <cell r="Q234" t="str">
            <v>N</v>
          </cell>
          <cell r="R234">
            <v>510553</v>
          </cell>
        </row>
        <row r="235">
          <cell r="A235">
            <v>249859</v>
          </cell>
          <cell r="B235" t="str">
            <v>웅진 자연은 요거새콤파인애플 1.5L 12개</v>
          </cell>
          <cell r="C235" t="str">
            <v>115210</v>
          </cell>
          <cell r="D235" t="str">
            <v>식품 &gt; 생수/음료/커피 &gt; 음료 &gt; 과일/야채음료</v>
          </cell>
          <cell r="E235" t="str">
            <v>102802</v>
          </cell>
          <cell r="F235" t="str">
            <v>기본카테고리 &gt; 가공식품 &gt; 음료/파우더/시럽 &gt; 탄산음료/기타음료</v>
          </cell>
          <cell r="G235" t="str">
            <v>2023-06-07 17:17:08</v>
          </cell>
          <cell r="H235" t="str">
            <v/>
          </cell>
          <cell r="I235" t="str">
            <v>Y</v>
          </cell>
          <cell r="J235" t="str">
            <v>Y</v>
          </cell>
          <cell r="K235" t="str">
            <v>N</v>
          </cell>
          <cell r="L235" t="str">
            <v>할인율</v>
          </cell>
          <cell r="M235">
            <v>0</v>
          </cell>
          <cell r="N235" t="str">
            <v>Y</v>
          </cell>
          <cell r="O235" t="str">
            <v>해당없음</v>
          </cell>
          <cell r="P235" t="str">
            <v/>
          </cell>
          <cell r="Q235" t="str">
            <v>N</v>
          </cell>
          <cell r="R235">
            <v>510552</v>
          </cell>
        </row>
        <row r="236">
          <cell r="A236">
            <v>249857</v>
          </cell>
          <cell r="B236" t="str">
            <v>해태 갈아만든배 사이다 1.5L 12개</v>
          </cell>
          <cell r="C236" t="str">
            <v>115210</v>
          </cell>
          <cell r="D236" t="str">
            <v>식품 &gt; 생수/음료/커피 &gt; 음료 &gt; 과일/야채음료</v>
          </cell>
          <cell r="E236" t="str">
            <v>102802</v>
          </cell>
          <cell r="F236" t="str">
            <v>기본카테고리 &gt; 가공식품 &gt; 음료/파우더/시럽 &gt; 탄산음료/기타음료</v>
          </cell>
          <cell r="G236" t="str">
            <v>2023-06-07 17:17:08</v>
          </cell>
          <cell r="H236" t="str">
            <v/>
          </cell>
          <cell r="I236" t="str">
            <v>Y</v>
          </cell>
          <cell r="J236" t="str">
            <v>Y</v>
          </cell>
          <cell r="K236" t="str">
            <v>N</v>
          </cell>
          <cell r="L236" t="str">
            <v>할인율</v>
          </cell>
          <cell r="M236">
            <v>0</v>
          </cell>
          <cell r="N236" t="str">
            <v>Y</v>
          </cell>
          <cell r="O236" t="str">
            <v>해당없음</v>
          </cell>
          <cell r="P236" t="str">
            <v/>
          </cell>
          <cell r="Q236" t="str">
            <v>N</v>
          </cell>
          <cell r="R236">
            <v>510550</v>
          </cell>
        </row>
        <row r="237">
          <cell r="A237">
            <v>249855</v>
          </cell>
          <cell r="B237" t="str">
            <v>카프리썬 오렌지 200ml 10개</v>
          </cell>
          <cell r="C237" t="str">
            <v>115210</v>
          </cell>
          <cell r="D237" t="str">
            <v>식품 &gt; 생수/음료/커피 &gt; 음료 &gt; 과일/야채음료</v>
          </cell>
          <cell r="E237" t="str">
            <v>102802</v>
          </cell>
          <cell r="F237" t="str">
            <v>기본카테고리 &gt; 가공식품 &gt; 음료/파우더/시럽 &gt; 탄산음료/기타음료</v>
          </cell>
          <cell r="G237" t="str">
            <v>2023-06-07 17:17:08</v>
          </cell>
          <cell r="H237" t="str">
            <v/>
          </cell>
          <cell r="I237" t="str">
            <v>Y</v>
          </cell>
          <cell r="J237" t="str">
            <v>Y</v>
          </cell>
          <cell r="K237" t="str">
            <v>N</v>
          </cell>
          <cell r="L237" t="str">
            <v>할인율</v>
          </cell>
          <cell r="M237">
            <v>0</v>
          </cell>
          <cell r="N237" t="str">
            <v>Y</v>
          </cell>
          <cell r="O237" t="str">
            <v>해당없음</v>
          </cell>
          <cell r="P237" t="str">
            <v/>
          </cell>
          <cell r="Q237" t="str">
            <v>N</v>
          </cell>
          <cell r="R237">
            <v>510548</v>
          </cell>
        </row>
        <row r="238">
          <cell r="A238">
            <v>249853</v>
          </cell>
          <cell r="B238" t="str">
            <v>카프리썬 오렌지망고 200ml 10개</v>
          </cell>
          <cell r="C238" t="str">
            <v>115210</v>
          </cell>
          <cell r="D238" t="str">
            <v>식품 &gt; 생수/음료/커피 &gt; 음료 &gt; 과일/야채음료</v>
          </cell>
          <cell r="E238" t="str">
            <v>102802</v>
          </cell>
          <cell r="F238" t="str">
            <v>기본카테고리 &gt; 가공식품 &gt; 음료/파우더/시럽 &gt; 탄산음료/기타음료</v>
          </cell>
          <cell r="G238" t="str">
            <v>2023-06-07 17:17:08</v>
          </cell>
          <cell r="H238" t="str">
            <v/>
          </cell>
          <cell r="I238" t="str">
            <v>Y</v>
          </cell>
          <cell r="J238" t="str">
            <v>Y</v>
          </cell>
          <cell r="K238" t="str">
            <v>N</v>
          </cell>
          <cell r="L238" t="str">
            <v>할인율</v>
          </cell>
          <cell r="M238">
            <v>0</v>
          </cell>
          <cell r="N238" t="str">
            <v>Y</v>
          </cell>
          <cell r="O238" t="str">
            <v>해당없음</v>
          </cell>
          <cell r="P238" t="str">
            <v/>
          </cell>
          <cell r="Q238" t="str">
            <v>N</v>
          </cell>
          <cell r="R238">
            <v>510546</v>
          </cell>
        </row>
        <row r="239">
          <cell r="A239">
            <v>249852</v>
          </cell>
          <cell r="B239" t="str">
            <v>카프리썬 사파리 200ml 10개</v>
          </cell>
          <cell r="C239" t="str">
            <v>115210</v>
          </cell>
          <cell r="D239" t="str">
            <v>식품 &gt; 생수/음료/커피 &gt; 음료 &gt; 과일/야채음료</v>
          </cell>
          <cell r="E239" t="str">
            <v>102802</v>
          </cell>
          <cell r="F239" t="str">
            <v>기본카테고리 &gt; 가공식품 &gt; 음료/파우더/시럽 &gt; 탄산음료/기타음료</v>
          </cell>
          <cell r="G239" t="str">
            <v>2023-06-07 17:17:08</v>
          </cell>
          <cell r="H239" t="str">
            <v/>
          </cell>
          <cell r="I239" t="str">
            <v>Y</v>
          </cell>
          <cell r="J239" t="str">
            <v>Y</v>
          </cell>
          <cell r="K239" t="str">
            <v>N</v>
          </cell>
          <cell r="L239" t="str">
            <v>할인율</v>
          </cell>
          <cell r="M239">
            <v>0</v>
          </cell>
          <cell r="N239" t="str">
            <v>Y</v>
          </cell>
          <cell r="O239" t="str">
            <v>해당없음</v>
          </cell>
          <cell r="P239" t="str">
            <v/>
          </cell>
          <cell r="Q239" t="str">
            <v>N</v>
          </cell>
          <cell r="R239">
            <v>510545</v>
          </cell>
        </row>
        <row r="240">
          <cell r="A240">
            <v>249850</v>
          </cell>
          <cell r="B240" t="str">
            <v>팔도 비락밥알없는식혜 175ml 30개</v>
          </cell>
          <cell r="C240" t="str">
            <v>101034</v>
          </cell>
          <cell r="D240" t="str">
            <v>식품 &gt; 생수/음료/커피 &gt; 음료 &gt; 전통/차음료 &gt; 식혜</v>
          </cell>
          <cell r="E240" t="str">
            <v>102802</v>
          </cell>
          <cell r="F240" t="str">
            <v>기본카테고리 &gt; 가공식품 &gt; 음료/파우더/시럽 &gt; 탄산음료/기타음료</v>
          </cell>
          <cell r="G240" t="str">
            <v>2023-06-07 17:17:08</v>
          </cell>
          <cell r="H240" t="str">
            <v/>
          </cell>
          <cell r="I240" t="str">
            <v>Y</v>
          </cell>
          <cell r="J240" t="str">
            <v>Y</v>
          </cell>
          <cell r="K240" t="str">
            <v>N</v>
          </cell>
          <cell r="L240" t="str">
            <v>할인율</v>
          </cell>
          <cell r="M240">
            <v>0</v>
          </cell>
          <cell r="N240" t="str">
            <v>Y</v>
          </cell>
          <cell r="O240" t="str">
            <v>해당없음</v>
          </cell>
          <cell r="P240" t="str">
            <v/>
          </cell>
          <cell r="Q240" t="str">
            <v>N</v>
          </cell>
          <cell r="R240">
            <v>510543</v>
          </cell>
        </row>
        <row r="241">
          <cell r="A241">
            <v>249849</v>
          </cell>
          <cell r="B241" t="str">
            <v>동아제약 포카리스웨트 340ml 24개</v>
          </cell>
          <cell r="C241" t="str">
            <v>101029</v>
          </cell>
          <cell r="D241" t="str">
            <v>식품 &gt; 생수/음료/커피 &gt; 음료 &gt; 스포츠/이온음료</v>
          </cell>
          <cell r="E241" t="str">
            <v>102802</v>
          </cell>
          <cell r="F241" t="str">
            <v>기본카테고리 &gt; 가공식품 &gt; 음료/파우더/시럽 &gt; 탄산음료/기타음료</v>
          </cell>
          <cell r="G241" t="str">
            <v>2023-06-07 17:17:08</v>
          </cell>
          <cell r="H241" t="str">
            <v/>
          </cell>
          <cell r="I241" t="str">
            <v>Y</v>
          </cell>
          <cell r="J241" t="str">
            <v>Y</v>
          </cell>
          <cell r="K241" t="str">
            <v>N</v>
          </cell>
          <cell r="L241" t="str">
            <v>할인율</v>
          </cell>
          <cell r="M241">
            <v>0</v>
          </cell>
          <cell r="N241" t="str">
            <v>Y</v>
          </cell>
          <cell r="O241" t="str">
            <v>해당없음</v>
          </cell>
          <cell r="P241" t="str">
            <v/>
          </cell>
          <cell r="Q241" t="str">
            <v>N</v>
          </cell>
          <cell r="R241">
            <v>510542</v>
          </cell>
        </row>
        <row r="242">
          <cell r="A242">
            <v>249848</v>
          </cell>
          <cell r="B242" t="str">
            <v>비락 식혜 500ml 12개</v>
          </cell>
          <cell r="C242" t="str">
            <v>101034</v>
          </cell>
          <cell r="D242" t="str">
            <v>식품 &gt; 생수/음료/커피 &gt; 음료 &gt; 전통/차음료 &gt; 식혜</v>
          </cell>
          <cell r="E242" t="str">
            <v>102802</v>
          </cell>
          <cell r="F242" t="str">
            <v>기본카테고리 &gt; 가공식품 &gt; 음료/파우더/시럽 &gt; 탄산음료/기타음료</v>
          </cell>
          <cell r="G242" t="str">
            <v>2023-06-07 17:17:08</v>
          </cell>
          <cell r="H242" t="str">
            <v/>
          </cell>
          <cell r="I242" t="str">
            <v>Y</v>
          </cell>
          <cell r="J242" t="str">
            <v>Y</v>
          </cell>
          <cell r="K242" t="str">
            <v>N</v>
          </cell>
          <cell r="L242" t="str">
            <v>할인율</v>
          </cell>
          <cell r="M242">
            <v>0</v>
          </cell>
          <cell r="N242" t="str">
            <v>Y</v>
          </cell>
          <cell r="O242" t="str">
            <v>해당없음</v>
          </cell>
          <cell r="P242" t="str">
            <v/>
          </cell>
          <cell r="Q242" t="str">
            <v>N</v>
          </cell>
          <cell r="R242">
            <v>510541</v>
          </cell>
        </row>
        <row r="243">
          <cell r="A243">
            <v>249847</v>
          </cell>
          <cell r="B243" t="str">
            <v>해태 포도봉봉 340ml 24개</v>
          </cell>
          <cell r="C243" t="str">
            <v>115210</v>
          </cell>
          <cell r="D243" t="str">
            <v>식품 &gt; 생수/음료/커피 &gt; 음료 &gt; 과일/야채음료</v>
          </cell>
          <cell r="E243" t="str">
            <v>102802</v>
          </cell>
          <cell r="F243" t="str">
            <v>기본카테고리 &gt; 가공식품 &gt; 음료/파우더/시럽 &gt; 탄산음료/기타음료</v>
          </cell>
          <cell r="G243" t="str">
            <v>2023-06-07 17:17:08</v>
          </cell>
          <cell r="H243" t="str">
            <v/>
          </cell>
          <cell r="I243" t="str">
            <v>Y</v>
          </cell>
          <cell r="J243" t="str">
            <v>Y</v>
          </cell>
          <cell r="K243" t="str">
            <v>N</v>
          </cell>
          <cell r="L243" t="str">
            <v>할인율</v>
          </cell>
          <cell r="M243">
            <v>0</v>
          </cell>
          <cell r="N243" t="str">
            <v>Y</v>
          </cell>
          <cell r="O243" t="str">
            <v>해당없음</v>
          </cell>
          <cell r="P243" t="str">
            <v/>
          </cell>
          <cell r="Q243" t="str">
            <v>N</v>
          </cell>
          <cell r="R243">
            <v>510540</v>
          </cell>
        </row>
        <row r="244">
          <cell r="A244">
            <v>249846</v>
          </cell>
          <cell r="B244" t="str">
            <v>일화 천연사이다 500ml 20개</v>
          </cell>
          <cell r="C244" t="str">
            <v>101042</v>
          </cell>
          <cell r="D244" t="str">
            <v>식품 &gt; 생수/음료/커피 &gt; 음료 &gt; 탄산음료 &gt; 사이다</v>
          </cell>
          <cell r="E244" t="str">
            <v>102802</v>
          </cell>
          <cell r="F244" t="str">
            <v>기본카테고리 &gt; 가공식품 &gt; 음료/파우더/시럽 &gt; 탄산음료/기타음료</v>
          </cell>
          <cell r="G244" t="str">
            <v>2023-06-07 17:17:08</v>
          </cell>
          <cell r="H244" t="str">
            <v/>
          </cell>
          <cell r="I244" t="str">
            <v>Y</v>
          </cell>
          <cell r="J244" t="str">
            <v>Y</v>
          </cell>
          <cell r="K244" t="str">
            <v>N</v>
          </cell>
          <cell r="L244" t="str">
            <v>할인율</v>
          </cell>
          <cell r="M244">
            <v>0</v>
          </cell>
          <cell r="N244" t="str">
            <v>Y</v>
          </cell>
          <cell r="O244" t="str">
            <v>해당없음</v>
          </cell>
          <cell r="P244" t="str">
            <v/>
          </cell>
          <cell r="Q244" t="str">
            <v>N</v>
          </cell>
          <cell r="R244">
            <v>510539</v>
          </cell>
        </row>
        <row r="245">
          <cell r="A245">
            <v>249845</v>
          </cell>
          <cell r="B245" t="str">
            <v>실론티 175ml 30캔</v>
          </cell>
          <cell r="C245" t="str">
            <v>101039</v>
          </cell>
          <cell r="D245" t="str">
            <v>식품 &gt; 생수/음료/커피 &gt; 음료 &gt; 전통/차음료 &gt; 홍차/밀크티음료</v>
          </cell>
          <cell r="E245" t="str">
            <v>102802</v>
          </cell>
          <cell r="F245" t="str">
            <v>기본카테고리 &gt; 가공식품 &gt; 음료/파우더/시럽 &gt; 탄산음료/기타음료</v>
          </cell>
          <cell r="G245" t="str">
            <v>2023-06-07 17:17:08</v>
          </cell>
          <cell r="H245" t="str">
            <v/>
          </cell>
          <cell r="I245" t="str">
            <v>Y</v>
          </cell>
          <cell r="J245" t="str">
            <v>Y</v>
          </cell>
          <cell r="K245" t="str">
            <v>N</v>
          </cell>
          <cell r="L245" t="str">
            <v>할인율</v>
          </cell>
          <cell r="M245">
            <v>0</v>
          </cell>
          <cell r="N245" t="str">
            <v>Y</v>
          </cell>
          <cell r="O245" t="str">
            <v>해당없음</v>
          </cell>
          <cell r="P245" t="str">
            <v/>
          </cell>
          <cell r="Q245" t="str">
            <v>N</v>
          </cell>
          <cell r="R245">
            <v>510538</v>
          </cell>
        </row>
        <row r="246">
          <cell r="A246">
            <v>249844</v>
          </cell>
          <cell r="B246" t="str">
            <v>일화 맥콜 1.5L 12개</v>
          </cell>
          <cell r="C246" t="str">
            <v>101045</v>
          </cell>
          <cell r="D246" t="str">
            <v>식품 &gt; 생수/음료/커피 &gt; 음료 &gt; 탄산음료 &gt; 기타탄산음료</v>
          </cell>
          <cell r="E246" t="str">
            <v>102802</v>
          </cell>
          <cell r="F246" t="str">
            <v>기본카테고리 &gt; 가공식품 &gt; 음료/파우더/시럽 &gt; 탄산음료/기타음료</v>
          </cell>
          <cell r="G246" t="str">
            <v>2023-06-07 17:17:08</v>
          </cell>
          <cell r="H246" t="str">
            <v/>
          </cell>
          <cell r="I246" t="str">
            <v>Y</v>
          </cell>
          <cell r="J246" t="str">
            <v>Y</v>
          </cell>
          <cell r="K246" t="str">
            <v>N</v>
          </cell>
          <cell r="L246" t="str">
            <v>할인율</v>
          </cell>
          <cell r="M246">
            <v>0</v>
          </cell>
          <cell r="N246" t="str">
            <v>Y</v>
          </cell>
          <cell r="O246" t="str">
            <v>해당없음</v>
          </cell>
          <cell r="P246" t="str">
            <v/>
          </cell>
          <cell r="Q246" t="str">
            <v>N</v>
          </cell>
          <cell r="R246">
            <v>510537</v>
          </cell>
        </row>
        <row r="247">
          <cell r="A247">
            <v>249842</v>
          </cell>
          <cell r="B247" t="str">
            <v>참맑은 보성녹차 캔 175ml 30개</v>
          </cell>
          <cell r="C247" t="str">
            <v>101031</v>
          </cell>
          <cell r="D247" t="str">
            <v>식품 &gt; 생수/음료/커피 &gt; 음료 &gt; 전통/차음료 &gt; 녹차음료</v>
          </cell>
          <cell r="E247" t="str">
            <v>102802</v>
          </cell>
          <cell r="F247" t="str">
            <v>기본카테고리 &gt; 가공식품 &gt; 음료/파우더/시럽 &gt; 탄산음료/기타음료</v>
          </cell>
          <cell r="G247" t="str">
            <v>2023-06-07 17:17:08</v>
          </cell>
          <cell r="H247" t="str">
            <v/>
          </cell>
          <cell r="I247" t="str">
            <v>Y</v>
          </cell>
          <cell r="J247" t="str">
            <v>Y</v>
          </cell>
          <cell r="K247" t="str">
            <v>N</v>
          </cell>
          <cell r="L247" t="str">
            <v>할인율</v>
          </cell>
          <cell r="M247">
            <v>0</v>
          </cell>
          <cell r="N247" t="str">
            <v>Y</v>
          </cell>
          <cell r="O247" t="str">
            <v>해당없음</v>
          </cell>
          <cell r="P247" t="str">
            <v/>
          </cell>
          <cell r="Q247" t="str">
            <v>N</v>
          </cell>
          <cell r="R247">
            <v>510535</v>
          </cell>
        </row>
        <row r="248">
          <cell r="A248">
            <v>249841</v>
          </cell>
          <cell r="B248" t="str">
            <v>농심 웰치스 포도 355ml 24개</v>
          </cell>
          <cell r="C248" t="str">
            <v>101045</v>
          </cell>
          <cell r="D248" t="str">
            <v>식품 &gt; 생수/음료/커피 &gt; 음료 &gt; 탄산음료 &gt; 기타탄산음료</v>
          </cell>
          <cell r="E248" t="str">
            <v>102802</v>
          </cell>
          <cell r="F248" t="str">
            <v>기본카테고리 &gt; 가공식품 &gt; 음료/파우더/시럽 &gt; 탄산음료/기타음료</v>
          </cell>
          <cell r="G248" t="str">
            <v>2023-06-07 17:17:08</v>
          </cell>
          <cell r="H248" t="str">
            <v/>
          </cell>
          <cell r="I248" t="str">
            <v>Y</v>
          </cell>
          <cell r="J248" t="str">
            <v>Y</v>
          </cell>
          <cell r="K248" t="str">
            <v>N</v>
          </cell>
          <cell r="L248" t="str">
            <v>할인율</v>
          </cell>
          <cell r="M248">
            <v>0</v>
          </cell>
          <cell r="N248" t="str">
            <v>Y</v>
          </cell>
          <cell r="O248" t="str">
            <v>해당없음</v>
          </cell>
          <cell r="P248" t="str">
            <v/>
          </cell>
          <cell r="Q248" t="str">
            <v>N</v>
          </cell>
          <cell r="R248">
            <v>510534</v>
          </cell>
        </row>
        <row r="249">
          <cell r="A249">
            <v>249840</v>
          </cell>
          <cell r="B249" t="str">
            <v>광동 옥수수수염차 캔 180ml 30개</v>
          </cell>
          <cell r="C249" t="str">
            <v>101036</v>
          </cell>
          <cell r="D249" t="str">
            <v>식품 &gt; 생수/음료/커피 &gt; 음료 &gt; 전통/차음료 &gt; 옥수수차음료</v>
          </cell>
          <cell r="E249" t="str">
            <v>102802</v>
          </cell>
          <cell r="F249" t="str">
            <v>기본카테고리 &gt; 가공식품 &gt; 음료/파우더/시럽 &gt; 탄산음료/기타음료</v>
          </cell>
          <cell r="G249" t="str">
            <v>2023-06-07 17:17:08</v>
          </cell>
          <cell r="H249" t="str">
            <v/>
          </cell>
          <cell r="I249" t="str">
            <v>Y</v>
          </cell>
          <cell r="J249" t="str">
            <v>Y</v>
          </cell>
          <cell r="K249" t="str">
            <v>N</v>
          </cell>
          <cell r="L249" t="str">
            <v>할인율</v>
          </cell>
          <cell r="M249">
            <v>0</v>
          </cell>
          <cell r="N249" t="str">
            <v>Y</v>
          </cell>
          <cell r="O249" t="str">
            <v>해당없음</v>
          </cell>
          <cell r="P249" t="str">
            <v/>
          </cell>
          <cell r="Q249" t="str">
            <v>N</v>
          </cell>
          <cell r="R249">
            <v>510533</v>
          </cell>
        </row>
        <row r="250">
          <cell r="A250">
            <v>249838</v>
          </cell>
          <cell r="B250" t="str">
            <v>델몬트 망고 1.5L 6개입</v>
          </cell>
          <cell r="C250" t="str">
            <v>115210</v>
          </cell>
          <cell r="D250" t="str">
            <v>식품 &gt; 생수/음료/커피 &gt; 음료 &gt; 과일/야채음료</v>
          </cell>
          <cell r="E250" t="str">
            <v>102802</v>
          </cell>
          <cell r="F250" t="str">
            <v>기본카테고리 &gt; 가공식품 &gt; 음료/파우더/시럽 &gt; 탄산음료/기타음료</v>
          </cell>
          <cell r="G250" t="str">
            <v>2023-06-07 17:17:08</v>
          </cell>
          <cell r="H250" t="str">
            <v/>
          </cell>
          <cell r="I250" t="str">
            <v>Y</v>
          </cell>
          <cell r="J250" t="str">
            <v>Y</v>
          </cell>
          <cell r="K250" t="str">
            <v>N</v>
          </cell>
          <cell r="L250" t="str">
            <v>할인율</v>
          </cell>
          <cell r="M250">
            <v>0</v>
          </cell>
          <cell r="N250" t="str">
            <v>Y</v>
          </cell>
          <cell r="O250" t="str">
            <v>해당없음</v>
          </cell>
          <cell r="P250" t="str">
            <v/>
          </cell>
          <cell r="Q250" t="str">
            <v>N</v>
          </cell>
          <cell r="R250">
            <v>510531</v>
          </cell>
        </row>
        <row r="251">
          <cell r="A251">
            <v>249837</v>
          </cell>
          <cell r="B251" t="str">
            <v>동아제약 오란씨 오렌지맛 250ml 30개</v>
          </cell>
          <cell r="C251" t="str">
            <v>101045</v>
          </cell>
          <cell r="D251" t="str">
            <v>식품 &gt; 생수/음료/커피 &gt; 음료 &gt; 탄산음료 &gt; 기타탄산음료</v>
          </cell>
          <cell r="E251" t="str">
            <v>102802</v>
          </cell>
          <cell r="F251" t="str">
            <v>기본카테고리 &gt; 가공식품 &gt; 음료/파우더/시럽 &gt; 탄산음료/기타음료</v>
          </cell>
          <cell r="G251" t="str">
            <v>2023-06-07 17:17:08</v>
          </cell>
          <cell r="H251" t="str">
            <v/>
          </cell>
          <cell r="I251" t="str">
            <v>Y</v>
          </cell>
          <cell r="J251" t="str">
            <v>Y</v>
          </cell>
          <cell r="K251" t="str">
            <v>N</v>
          </cell>
          <cell r="L251" t="str">
            <v>할인율</v>
          </cell>
          <cell r="M251">
            <v>0</v>
          </cell>
          <cell r="N251" t="str">
            <v>Y</v>
          </cell>
          <cell r="O251" t="str">
            <v>해당없음</v>
          </cell>
          <cell r="P251" t="str">
            <v/>
          </cell>
          <cell r="Q251" t="str">
            <v>N</v>
          </cell>
          <cell r="R251">
            <v>510530</v>
          </cell>
        </row>
        <row r="252">
          <cell r="A252">
            <v>249836</v>
          </cell>
          <cell r="B252" t="str">
            <v>카프리썬 사과 200ml 10개</v>
          </cell>
          <cell r="C252" t="str">
            <v>115210</v>
          </cell>
          <cell r="D252" t="str">
            <v>식품 &gt; 생수/음료/커피 &gt; 음료 &gt; 과일/야채음료</v>
          </cell>
          <cell r="E252" t="str">
            <v>102802</v>
          </cell>
          <cell r="F252" t="str">
            <v>기본카테고리 &gt; 가공식품 &gt; 음료/파우더/시럽 &gt; 탄산음료/기타음료</v>
          </cell>
          <cell r="G252" t="str">
            <v>2023-06-07 17:17:08</v>
          </cell>
          <cell r="H252" t="str">
            <v/>
          </cell>
          <cell r="I252" t="str">
            <v>Y</v>
          </cell>
          <cell r="J252" t="str">
            <v>Y</v>
          </cell>
          <cell r="K252" t="str">
            <v>N</v>
          </cell>
          <cell r="L252" t="str">
            <v>할인율</v>
          </cell>
          <cell r="M252">
            <v>0</v>
          </cell>
          <cell r="N252" t="str">
            <v>Y</v>
          </cell>
          <cell r="O252" t="str">
            <v>해당없음</v>
          </cell>
          <cell r="P252" t="str">
            <v/>
          </cell>
          <cell r="Q252" t="str">
            <v>N</v>
          </cell>
          <cell r="R252">
            <v>510529</v>
          </cell>
        </row>
        <row r="253">
          <cell r="A253">
            <v>249834</v>
          </cell>
          <cell r="B253" t="str">
            <v>일화 탑씨 파인애플 1.5L 12개</v>
          </cell>
          <cell r="C253" t="str">
            <v>101045</v>
          </cell>
          <cell r="D253" t="str">
            <v>식품 &gt; 생수/음료/커피 &gt; 음료 &gt; 탄산음료 &gt; 기타탄산음료</v>
          </cell>
          <cell r="E253" t="str">
            <v>102802</v>
          </cell>
          <cell r="F253" t="str">
            <v>기본카테고리 &gt; 가공식품 &gt; 음료/파우더/시럽 &gt; 탄산음료/기타음료</v>
          </cell>
          <cell r="G253" t="str">
            <v>2023-06-07 17:17:08</v>
          </cell>
          <cell r="H253" t="str">
            <v/>
          </cell>
          <cell r="I253" t="str">
            <v>Y</v>
          </cell>
          <cell r="J253" t="str">
            <v>Y</v>
          </cell>
          <cell r="K253" t="str">
            <v>N</v>
          </cell>
          <cell r="L253" t="str">
            <v>할인율</v>
          </cell>
          <cell r="M253">
            <v>0</v>
          </cell>
          <cell r="N253" t="str">
            <v>Y</v>
          </cell>
          <cell r="O253" t="str">
            <v>해당없음</v>
          </cell>
          <cell r="P253" t="str">
            <v/>
          </cell>
          <cell r="Q253" t="str">
            <v>N</v>
          </cell>
          <cell r="R253">
            <v>510527</v>
          </cell>
        </row>
        <row r="254">
          <cell r="A254">
            <v>249833</v>
          </cell>
          <cell r="B254" t="str">
            <v>웅진 초록매실 1.5L 12개</v>
          </cell>
          <cell r="C254" t="str">
            <v>115210</v>
          </cell>
          <cell r="D254" t="str">
            <v>식품 &gt; 생수/음료/커피 &gt; 음료 &gt; 과일/야채음료</v>
          </cell>
          <cell r="E254" t="str">
            <v>102802</v>
          </cell>
          <cell r="F254" t="str">
            <v>기본카테고리 &gt; 가공식품 &gt; 음료/파우더/시럽 &gt; 탄산음료/기타음료</v>
          </cell>
          <cell r="G254" t="str">
            <v>2023-06-07 17:17:08</v>
          </cell>
          <cell r="H254" t="str">
            <v/>
          </cell>
          <cell r="I254" t="str">
            <v>Y</v>
          </cell>
          <cell r="J254" t="str">
            <v>Y</v>
          </cell>
          <cell r="K254" t="str">
            <v>N</v>
          </cell>
          <cell r="L254" t="str">
            <v>할인율</v>
          </cell>
          <cell r="M254">
            <v>0</v>
          </cell>
          <cell r="N254" t="str">
            <v>Y</v>
          </cell>
          <cell r="O254" t="str">
            <v>해당없음</v>
          </cell>
          <cell r="P254" t="str">
            <v/>
          </cell>
          <cell r="Q254" t="str">
            <v>N</v>
          </cell>
          <cell r="R254">
            <v>510526</v>
          </cell>
        </row>
        <row r="255">
          <cell r="A255">
            <v>249832</v>
          </cell>
          <cell r="B255" t="str">
            <v>해태 갈아만든배 340ml 24개</v>
          </cell>
          <cell r="C255" t="str">
            <v>115210</v>
          </cell>
          <cell r="D255" t="str">
            <v>식품 &gt; 생수/음료/커피 &gt; 음료 &gt; 과일/야채음료</v>
          </cell>
          <cell r="E255" t="str">
            <v>102802</v>
          </cell>
          <cell r="F255" t="str">
            <v>기본카테고리 &gt; 가공식품 &gt; 음료/파우더/시럽 &gt; 탄산음료/기타음료</v>
          </cell>
          <cell r="G255" t="str">
            <v>2023-06-07 17:17:08</v>
          </cell>
          <cell r="H255" t="str">
            <v/>
          </cell>
          <cell r="I255" t="str">
            <v>Y</v>
          </cell>
          <cell r="J255" t="str">
            <v>Y</v>
          </cell>
          <cell r="K255" t="str">
            <v>N</v>
          </cell>
          <cell r="L255" t="str">
            <v>할인율</v>
          </cell>
          <cell r="M255">
            <v>0</v>
          </cell>
          <cell r="N255" t="str">
            <v>Y</v>
          </cell>
          <cell r="O255" t="str">
            <v>해당없음</v>
          </cell>
          <cell r="P255" t="str">
            <v/>
          </cell>
          <cell r="Q255" t="str">
            <v>N</v>
          </cell>
          <cell r="R255">
            <v>510525</v>
          </cell>
        </row>
        <row r="256">
          <cell r="A256">
            <v>249831</v>
          </cell>
          <cell r="B256" t="str">
            <v>일화 맥콜 350ml 24개</v>
          </cell>
          <cell r="C256" t="str">
            <v>101045</v>
          </cell>
          <cell r="D256" t="str">
            <v>식품 &gt; 생수/음료/커피 &gt; 음료 &gt; 탄산음료 &gt; 기타탄산음료</v>
          </cell>
          <cell r="E256" t="str">
            <v>102802</v>
          </cell>
          <cell r="F256" t="str">
            <v>기본카테고리 &gt; 가공식품 &gt; 음료/파우더/시럽 &gt; 탄산음료/기타음료</v>
          </cell>
          <cell r="G256" t="str">
            <v>2023-06-07 17:17:08</v>
          </cell>
          <cell r="H256" t="str">
            <v/>
          </cell>
          <cell r="I256" t="str">
            <v>Y</v>
          </cell>
          <cell r="J256" t="str">
            <v>Y</v>
          </cell>
          <cell r="K256" t="str">
            <v>N</v>
          </cell>
          <cell r="L256" t="str">
            <v>할인율</v>
          </cell>
          <cell r="M256">
            <v>0</v>
          </cell>
          <cell r="N256" t="str">
            <v>Y</v>
          </cell>
          <cell r="O256" t="str">
            <v>해당없음</v>
          </cell>
          <cell r="P256" t="str">
            <v/>
          </cell>
          <cell r="Q256" t="str">
            <v>N</v>
          </cell>
          <cell r="R256">
            <v>510524</v>
          </cell>
        </row>
        <row r="257">
          <cell r="A257">
            <v>249830</v>
          </cell>
          <cell r="B257" t="str">
            <v>참맑은 cool사이다 175ml 30개</v>
          </cell>
          <cell r="C257" t="str">
            <v>101042</v>
          </cell>
          <cell r="D257" t="str">
            <v>식품 &gt; 생수/음료/커피 &gt; 음료 &gt; 탄산음료 &gt; 사이다</v>
          </cell>
          <cell r="E257" t="str">
            <v>102802</v>
          </cell>
          <cell r="F257" t="str">
            <v>기본카테고리 &gt; 가공식품 &gt; 음료/파우더/시럽 &gt; 탄산음료/기타음료</v>
          </cell>
          <cell r="G257" t="str">
            <v>2023-06-07 17:17:08</v>
          </cell>
          <cell r="H257" t="str">
            <v/>
          </cell>
          <cell r="I257" t="str">
            <v>Y</v>
          </cell>
          <cell r="J257" t="str">
            <v>Y</v>
          </cell>
          <cell r="K257" t="str">
            <v>N</v>
          </cell>
          <cell r="L257" t="str">
            <v>할인율</v>
          </cell>
          <cell r="M257">
            <v>0</v>
          </cell>
          <cell r="N257" t="str">
            <v>Y</v>
          </cell>
          <cell r="O257" t="str">
            <v>해당없음</v>
          </cell>
          <cell r="P257" t="str">
            <v/>
          </cell>
          <cell r="Q257" t="str">
            <v>N</v>
          </cell>
          <cell r="R257">
            <v>510523</v>
          </cell>
        </row>
        <row r="258">
          <cell r="A258">
            <v>249829</v>
          </cell>
          <cell r="B258" t="str">
            <v>롯데 펩시콜라 245ml 업소용 슬림 30개</v>
          </cell>
          <cell r="C258" t="str">
            <v>101045</v>
          </cell>
          <cell r="D258" t="str">
            <v>식품 &gt; 생수/음료/커피 &gt; 음료 &gt; 탄산음료 &gt; 기타탄산음료</v>
          </cell>
          <cell r="E258" t="str">
            <v>102802</v>
          </cell>
          <cell r="F258" t="str">
            <v>기본카테고리 &gt; 가공식품 &gt; 음료/파우더/시럽 &gt; 탄산음료/기타음료</v>
          </cell>
          <cell r="G258" t="str">
            <v>2023-06-07 17:17:08</v>
          </cell>
          <cell r="H258" t="str">
            <v/>
          </cell>
          <cell r="I258" t="str">
            <v>Y</v>
          </cell>
          <cell r="J258" t="str">
            <v>Y</v>
          </cell>
          <cell r="K258" t="str">
            <v>N</v>
          </cell>
          <cell r="L258" t="str">
            <v>할인율</v>
          </cell>
          <cell r="M258">
            <v>0</v>
          </cell>
          <cell r="N258" t="str">
            <v>Y</v>
          </cell>
          <cell r="O258" t="str">
            <v>해당없음</v>
          </cell>
          <cell r="P258" t="str">
            <v/>
          </cell>
          <cell r="Q258" t="str">
            <v>N</v>
          </cell>
          <cell r="R258">
            <v>510522</v>
          </cell>
        </row>
        <row r="259">
          <cell r="A259">
            <v>249826</v>
          </cell>
          <cell r="B259" t="str">
            <v>일화 탑씨 포도 1.5L 12개</v>
          </cell>
          <cell r="C259" t="str">
            <v>101045</v>
          </cell>
          <cell r="D259" t="str">
            <v>식품 &gt; 생수/음료/커피 &gt; 음료 &gt; 탄산음료 &gt; 기타탄산음료</v>
          </cell>
          <cell r="E259" t="str">
            <v>102802</v>
          </cell>
          <cell r="F259" t="str">
            <v>기본카테고리 &gt; 가공식품 &gt; 음료/파우더/시럽 &gt; 탄산음료/기타음료</v>
          </cell>
          <cell r="G259" t="str">
            <v>2023-06-07 17:17:08</v>
          </cell>
          <cell r="H259" t="str">
            <v/>
          </cell>
          <cell r="I259" t="str">
            <v>Y</v>
          </cell>
          <cell r="J259" t="str">
            <v>Y</v>
          </cell>
          <cell r="K259" t="str">
            <v>N</v>
          </cell>
          <cell r="L259" t="str">
            <v>할인율</v>
          </cell>
          <cell r="M259">
            <v>0</v>
          </cell>
          <cell r="N259" t="str">
            <v>Y</v>
          </cell>
          <cell r="O259" t="str">
            <v>해당없음</v>
          </cell>
          <cell r="P259" t="str">
            <v/>
          </cell>
          <cell r="Q259" t="str">
            <v>N</v>
          </cell>
          <cell r="R259">
            <v>510519</v>
          </cell>
        </row>
        <row r="260">
          <cell r="A260">
            <v>249825</v>
          </cell>
          <cell r="B260" t="str">
            <v>동원 보성녹차 340ml 24개</v>
          </cell>
          <cell r="C260" t="str">
            <v>101031</v>
          </cell>
          <cell r="D260" t="str">
            <v>식품 &gt; 생수/음료/커피 &gt; 음료 &gt; 전통/차음료 &gt; 녹차음료</v>
          </cell>
          <cell r="E260" t="str">
            <v>102802</v>
          </cell>
          <cell r="F260" t="str">
            <v>기본카테고리 &gt; 가공식품 &gt; 음료/파우더/시럽 &gt; 탄산음료/기타음료</v>
          </cell>
          <cell r="G260" t="str">
            <v>2023-06-07 17:17:08</v>
          </cell>
          <cell r="H260" t="str">
            <v/>
          </cell>
          <cell r="I260" t="str">
            <v>Y</v>
          </cell>
          <cell r="J260" t="str">
            <v>Y</v>
          </cell>
          <cell r="K260" t="str">
            <v>N</v>
          </cell>
          <cell r="L260" t="str">
            <v>할인율</v>
          </cell>
          <cell r="M260">
            <v>0</v>
          </cell>
          <cell r="N260" t="str">
            <v>Y</v>
          </cell>
          <cell r="O260" t="str">
            <v>해당없음</v>
          </cell>
          <cell r="P260" t="str">
            <v/>
          </cell>
          <cell r="Q260" t="str">
            <v>N</v>
          </cell>
          <cell r="R260">
            <v>510518</v>
          </cell>
        </row>
        <row r="261">
          <cell r="A261">
            <v>249824</v>
          </cell>
          <cell r="B261" t="str">
            <v>일화 맥콜 500ml 20개</v>
          </cell>
          <cell r="C261" t="str">
            <v>101045</v>
          </cell>
          <cell r="D261" t="str">
            <v>식품 &gt; 생수/음료/커피 &gt; 음료 &gt; 탄산음료 &gt; 기타탄산음료</v>
          </cell>
          <cell r="E261" t="str">
            <v>102802</v>
          </cell>
          <cell r="F261" t="str">
            <v>기본카테고리 &gt; 가공식품 &gt; 음료/파우더/시럽 &gt; 탄산음료/기타음료</v>
          </cell>
          <cell r="G261" t="str">
            <v>2023-06-07 17:17:08</v>
          </cell>
          <cell r="H261" t="str">
            <v/>
          </cell>
          <cell r="I261" t="str">
            <v>Y</v>
          </cell>
          <cell r="J261" t="str">
            <v>Y</v>
          </cell>
          <cell r="K261" t="str">
            <v>N</v>
          </cell>
          <cell r="L261" t="str">
            <v>할인율</v>
          </cell>
          <cell r="M261">
            <v>0</v>
          </cell>
          <cell r="N261" t="str">
            <v>Y</v>
          </cell>
          <cell r="O261" t="str">
            <v>해당없음</v>
          </cell>
          <cell r="P261" t="str">
            <v/>
          </cell>
          <cell r="Q261" t="str">
            <v>N</v>
          </cell>
          <cell r="R261">
            <v>510517</v>
          </cell>
        </row>
        <row r="262">
          <cell r="A262">
            <v>249823</v>
          </cell>
          <cell r="B262" t="str">
            <v>환타  업소용 오렌지 캔 350ml 24개</v>
          </cell>
          <cell r="C262" t="str">
            <v>101045</v>
          </cell>
          <cell r="D262" t="str">
            <v>식품 &gt; 생수/음료/커피 &gt; 음료 &gt; 탄산음료 &gt; 기타탄산음료</v>
          </cell>
          <cell r="E262" t="str">
            <v>102802</v>
          </cell>
          <cell r="F262" t="str">
            <v>기본카테고리 &gt; 가공식품 &gt; 음료/파우더/시럽 &gt; 탄산음료/기타음료</v>
          </cell>
          <cell r="G262" t="str">
            <v>2023-06-07 17:17:08</v>
          </cell>
          <cell r="H262" t="str">
            <v/>
          </cell>
          <cell r="I262" t="str">
            <v>Y</v>
          </cell>
          <cell r="J262" t="str">
            <v>Y</v>
          </cell>
          <cell r="K262" t="str">
            <v>N</v>
          </cell>
          <cell r="L262" t="str">
            <v>할인율</v>
          </cell>
          <cell r="M262">
            <v>0</v>
          </cell>
          <cell r="N262" t="str">
            <v>Y</v>
          </cell>
          <cell r="O262" t="str">
            <v>해당없음</v>
          </cell>
          <cell r="P262" t="str">
            <v/>
          </cell>
          <cell r="Q262" t="str">
            <v>N</v>
          </cell>
          <cell r="R262">
            <v>510516</v>
          </cell>
        </row>
        <row r="263">
          <cell r="A263">
            <v>249822</v>
          </cell>
          <cell r="B263" t="str">
            <v>코카콜라 245ml 30개(업소용)</v>
          </cell>
          <cell r="C263" t="str">
            <v>101045</v>
          </cell>
          <cell r="D263" t="str">
            <v>식품 &gt; 생수/음료/커피 &gt; 음료 &gt; 탄산음료 &gt; 기타탄산음료</v>
          </cell>
          <cell r="E263" t="str">
            <v>102802</v>
          </cell>
          <cell r="F263" t="str">
            <v>기본카테고리 &gt; 가공식품 &gt; 음료/파우더/시럽 &gt; 탄산음료/기타음료</v>
          </cell>
          <cell r="G263" t="str">
            <v>2023-06-07 17:17:08</v>
          </cell>
          <cell r="H263" t="str">
            <v/>
          </cell>
          <cell r="I263" t="str">
            <v>Y</v>
          </cell>
          <cell r="J263" t="str">
            <v>Y</v>
          </cell>
          <cell r="K263" t="str">
            <v>N</v>
          </cell>
          <cell r="L263" t="str">
            <v>할인율</v>
          </cell>
          <cell r="M263">
            <v>0</v>
          </cell>
          <cell r="N263" t="str">
            <v>Y</v>
          </cell>
          <cell r="O263" t="str">
            <v>해당없음</v>
          </cell>
          <cell r="P263" t="str">
            <v/>
          </cell>
          <cell r="Q263" t="str">
            <v>N</v>
          </cell>
          <cell r="R263">
            <v>510515</v>
          </cell>
        </row>
        <row r="264">
          <cell r="A264">
            <v>249821</v>
          </cell>
          <cell r="B264" t="str">
            <v>포카리스웨트 캔 245ml 30개</v>
          </cell>
          <cell r="C264" t="str">
            <v>101029</v>
          </cell>
          <cell r="D264" t="str">
            <v>식품 &gt; 생수/음료/커피 &gt; 음료 &gt; 스포츠/이온음료</v>
          </cell>
          <cell r="E264" t="str">
            <v>102802</v>
          </cell>
          <cell r="F264" t="str">
            <v>기본카테고리 &gt; 가공식품 &gt; 음료/파우더/시럽 &gt; 탄산음료/기타음료</v>
          </cell>
          <cell r="G264" t="str">
            <v>2023-06-07 17:17:08</v>
          </cell>
          <cell r="H264" t="str">
            <v/>
          </cell>
          <cell r="I264" t="str">
            <v>Y</v>
          </cell>
          <cell r="J264" t="str">
            <v>Y</v>
          </cell>
          <cell r="K264" t="str">
            <v>N</v>
          </cell>
          <cell r="L264" t="str">
            <v>할인율</v>
          </cell>
          <cell r="M264">
            <v>0</v>
          </cell>
          <cell r="N264" t="str">
            <v>Y</v>
          </cell>
          <cell r="O264" t="str">
            <v>해당없음</v>
          </cell>
          <cell r="P264" t="str">
            <v/>
          </cell>
          <cell r="Q264" t="str">
            <v>N</v>
          </cell>
          <cell r="R264">
            <v>510514</v>
          </cell>
        </row>
        <row r="265">
          <cell r="A265">
            <v>249819</v>
          </cell>
          <cell r="B265" t="str">
            <v>초록매실 캔 180ml 90개</v>
          </cell>
          <cell r="C265" t="str">
            <v>115210</v>
          </cell>
          <cell r="D265" t="str">
            <v>식품 &gt; 생수/음료/커피 &gt; 음료 &gt; 과일/야채음료</v>
          </cell>
          <cell r="E265" t="str">
            <v>102802</v>
          </cell>
          <cell r="F265" t="str">
            <v>기본카테고리 &gt; 가공식품 &gt; 음료/파우더/시럽 &gt; 탄산음료/기타음료</v>
          </cell>
          <cell r="G265" t="str">
            <v>2023-06-07 17:17:08</v>
          </cell>
          <cell r="H265" t="str">
            <v/>
          </cell>
          <cell r="I265" t="str">
            <v>Y</v>
          </cell>
          <cell r="J265" t="str">
            <v>Y</v>
          </cell>
          <cell r="K265" t="str">
            <v>N</v>
          </cell>
          <cell r="L265" t="str">
            <v>할인율</v>
          </cell>
          <cell r="M265">
            <v>0</v>
          </cell>
          <cell r="N265" t="str">
            <v>Y</v>
          </cell>
          <cell r="O265" t="str">
            <v>해당없음</v>
          </cell>
          <cell r="P265" t="str">
            <v/>
          </cell>
          <cell r="Q265" t="str">
            <v>N</v>
          </cell>
          <cell r="R265">
            <v>510512</v>
          </cell>
        </row>
        <row r="266">
          <cell r="A266">
            <v>249818</v>
          </cell>
          <cell r="B266" t="str">
            <v>팔도 뽀로로 블루베리 235ml 24개</v>
          </cell>
          <cell r="C266" t="str">
            <v>108140</v>
          </cell>
          <cell r="D266" t="str">
            <v>출산/유아동 &gt; 분유/유아식품 &gt; 영유아식품 &gt; 유아간식/음료 &gt; 과즙/음료 &gt; 기타유아음료</v>
          </cell>
          <cell r="E266" t="str">
            <v>102802</v>
          </cell>
          <cell r="F266" t="str">
            <v>기본카테고리 &gt; 가공식품 &gt; 음료/파우더/시럽 &gt; 탄산음료/기타음료</v>
          </cell>
          <cell r="G266" t="str">
            <v>2023-06-07 17:17:08</v>
          </cell>
          <cell r="H266" t="str">
            <v/>
          </cell>
          <cell r="I266" t="str">
            <v>Y</v>
          </cell>
          <cell r="J266" t="str">
            <v>Y</v>
          </cell>
          <cell r="K266" t="str">
            <v>N</v>
          </cell>
          <cell r="L266" t="str">
            <v>할인율</v>
          </cell>
          <cell r="M266">
            <v>0</v>
          </cell>
          <cell r="N266" t="str">
            <v>Y</v>
          </cell>
          <cell r="O266" t="str">
            <v>해당없음</v>
          </cell>
          <cell r="P266" t="str">
            <v/>
          </cell>
          <cell r="Q266" t="str">
            <v>N</v>
          </cell>
          <cell r="R266">
            <v>510511</v>
          </cell>
        </row>
        <row r="267">
          <cell r="A267">
            <v>249817</v>
          </cell>
          <cell r="B267" t="str">
            <v>참맑은 벌꿀 캔175ml 30개</v>
          </cell>
          <cell r="C267" t="str">
            <v>101020</v>
          </cell>
          <cell r="D267" t="str">
            <v>식품 &gt; 생수/음료/커피 &gt; 음료 &gt; 건강/기능성음료 &gt; 꿀물</v>
          </cell>
          <cell r="E267" t="str">
            <v>102802</v>
          </cell>
          <cell r="F267" t="str">
            <v>기본카테고리 &gt; 가공식품 &gt; 음료/파우더/시럽 &gt; 탄산음료/기타음료</v>
          </cell>
          <cell r="G267" t="str">
            <v>2023-06-07 17:17:08</v>
          </cell>
          <cell r="H267" t="str">
            <v/>
          </cell>
          <cell r="I267" t="str">
            <v>Y</v>
          </cell>
          <cell r="J267" t="str">
            <v>Y</v>
          </cell>
          <cell r="K267" t="str">
            <v>N</v>
          </cell>
          <cell r="L267" t="str">
            <v>할인율</v>
          </cell>
          <cell r="M267">
            <v>0</v>
          </cell>
          <cell r="N267" t="str">
            <v>Y</v>
          </cell>
          <cell r="O267" t="str">
            <v>해당없음</v>
          </cell>
          <cell r="P267" t="str">
            <v/>
          </cell>
          <cell r="Q267" t="str">
            <v>N</v>
          </cell>
          <cell r="R267">
            <v>510510</v>
          </cell>
        </row>
        <row r="268">
          <cell r="A268">
            <v>249816</v>
          </cell>
          <cell r="B268" t="str">
            <v>해태 복숭아봉봉 340ml 24개</v>
          </cell>
          <cell r="C268" t="str">
            <v>115210</v>
          </cell>
          <cell r="D268" t="str">
            <v>식품 &gt; 생수/음료/커피 &gt; 음료 &gt; 과일/야채음료</v>
          </cell>
          <cell r="E268" t="str">
            <v>102802</v>
          </cell>
          <cell r="F268" t="str">
            <v>기본카테고리 &gt; 가공식품 &gt; 음료/파우더/시럽 &gt; 탄산음료/기타음료</v>
          </cell>
          <cell r="G268" t="str">
            <v>2023-06-07 17:17:08</v>
          </cell>
          <cell r="H268" t="str">
            <v/>
          </cell>
          <cell r="I268" t="str">
            <v>Y</v>
          </cell>
          <cell r="J268" t="str">
            <v>Y</v>
          </cell>
          <cell r="K268" t="str">
            <v>N</v>
          </cell>
          <cell r="L268" t="str">
            <v>할인율</v>
          </cell>
          <cell r="M268">
            <v>0</v>
          </cell>
          <cell r="N268" t="str">
            <v>Y</v>
          </cell>
          <cell r="O268" t="str">
            <v>해당없음</v>
          </cell>
          <cell r="P268" t="str">
            <v/>
          </cell>
          <cell r="Q268" t="str">
            <v>N</v>
          </cell>
          <cell r="R268">
            <v>510509</v>
          </cell>
        </row>
        <row r="269">
          <cell r="A269">
            <v>249813</v>
          </cell>
          <cell r="B269" t="str">
            <v>남양 과수원 복숭아 200ml 24개</v>
          </cell>
          <cell r="C269" t="str">
            <v>115210</v>
          </cell>
          <cell r="D269" t="str">
            <v>식품 &gt; 생수/음료/커피 &gt; 음료 &gt; 과일/야채음료</v>
          </cell>
          <cell r="E269" t="str">
            <v>102802</v>
          </cell>
          <cell r="F269" t="str">
            <v>기본카테고리 &gt; 가공식품 &gt; 음료/파우더/시럽 &gt; 탄산음료/기타음료</v>
          </cell>
          <cell r="G269" t="str">
            <v>2023-06-07 17:17:08</v>
          </cell>
          <cell r="H269" t="str">
            <v/>
          </cell>
          <cell r="I269" t="str">
            <v>Y</v>
          </cell>
          <cell r="J269" t="str">
            <v>Y</v>
          </cell>
          <cell r="K269" t="str">
            <v>N</v>
          </cell>
          <cell r="L269" t="str">
            <v>할인율</v>
          </cell>
          <cell r="M269">
            <v>0</v>
          </cell>
          <cell r="N269" t="str">
            <v>Y</v>
          </cell>
          <cell r="O269" t="str">
            <v>해당없음</v>
          </cell>
          <cell r="P269" t="str">
            <v/>
          </cell>
          <cell r="Q269" t="str">
            <v>N</v>
          </cell>
          <cell r="R269">
            <v>510506</v>
          </cell>
        </row>
        <row r="270">
          <cell r="A270">
            <v>249812</v>
          </cell>
          <cell r="B270" t="str">
            <v>진로 블랙보리 1.5L 12개</v>
          </cell>
          <cell r="C270" t="str">
            <v>101040</v>
          </cell>
          <cell r="D270" t="str">
            <v>식품 &gt; 생수/음료/커피 &gt; 음료 &gt; 전통/차음료 &gt; 기타차음료</v>
          </cell>
          <cell r="E270" t="str">
            <v>102802</v>
          </cell>
          <cell r="F270" t="str">
            <v>기본카테고리 &gt; 가공식품 &gt; 음료/파우더/시럽 &gt; 탄산음료/기타음료</v>
          </cell>
          <cell r="G270" t="str">
            <v>2023-06-07 17:17:08</v>
          </cell>
          <cell r="H270" t="str">
            <v/>
          </cell>
          <cell r="I270" t="str">
            <v>Y</v>
          </cell>
          <cell r="J270" t="str">
            <v>Y</v>
          </cell>
          <cell r="K270" t="str">
            <v>N</v>
          </cell>
          <cell r="L270" t="str">
            <v>할인율</v>
          </cell>
          <cell r="M270">
            <v>0</v>
          </cell>
          <cell r="N270" t="str">
            <v>Y</v>
          </cell>
          <cell r="O270" t="str">
            <v>해당없음</v>
          </cell>
          <cell r="P270" t="str">
            <v/>
          </cell>
          <cell r="Q270" t="str">
            <v>N</v>
          </cell>
          <cell r="R270">
            <v>510505</v>
          </cell>
        </row>
        <row r="271">
          <cell r="A271">
            <v>249810</v>
          </cell>
          <cell r="B271" t="str">
            <v>현대제약 미에로화이바 210ml 40개</v>
          </cell>
          <cell r="C271" t="str">
            <v>101028</v>
          </cell>
          <cell r="D271" t="str">
            <v>식품 &gt; 생수/음료/커피 &gt; 음료 &gt; 건강/기능성음료 &gt; 기타건강/기능성음료</v>
          </cell>
          <cell r="E271" t="str">
            <v>102802</v>
          </cell>
          <cell r="F271" t="str">
            <v>기본카테고리 &gt; 가공식품 &gt; 음료/파우더/시럽 &gt; 탄산음료/기타음료</v>
          </cell>
          <cell r="G271" t="str">
            <v>2023-06-07 17:17:08</v>
          </cell>
          <cell r="H271" t="str">
            <v/>
          </cell>
          <cell r="I271" t="str">
            <v>Y</v>
          </cell>
          <cell r="J271" t="str">
            <v>Y</v>
          </cell>
          <cell r="K271" t="str">
            <v>N</v>
          </cell>
          <cell r="L271" t="str">
            <v>할인율</v>
          </cell>
          <cell r="M271">
            <v>0</v>
          </cell>
          <cell r="N271" t="str">
            <v>Y</v>
          </cell>
          <cell r="O271" t="str">
            <v>해당없음</v>
          </cell>
          <cell r="P271" t="str">
            <v/>
          </cell>
          <cell r="Q271" t="str">
            <v>N</v>
          </cell>
          <cell r="R271">
            <v>510503</v>
          </cell>
        </row>
        <row r="272">
          <cell r="A272">
            <v>249809</v>
          </cell>
          <cell r="B272" t="str">
            <v>캐나다드라이 토닉워터 캔 250ml 30개</v>
          </cell>
          <cell r="C272" t="str">
            <v>101045</v>
          </cell>
          <cell r="D272" t="str">
            <v>식품 &gt; 생수/음료/커피 &gt; 음료 &gt; 탄산음료 &gt; 기타탄산음료</v>
          </cell>
          <cell r="E272" t="str">
            <v>102802</v>
          </cell>
          <cell r="F272" t="str">
            <v>기본카테고리 &gt; 가공식품 &gt; 음료/파우더/시럽 &gt; 탄산음료/기타음료</v>
          </cell>
          <cell r="G272" t="str">
            <v>2023-06-07 17:17:08</v>
          </cell>
          <cell r="H272" t="str">
            <v/>
          </cell>
          <cell r="I272" t="str">
            <v>Y</v>
          </cell>
          <cell r="J272" t="str">
            <v>Y</v>
          </cell>
          <cell r="K272" t="str">
            <v>N</v>
          </cell>
          <cell r="L272" t="str">
            <v>할인율</v>
          </cell>
          <cell r="M272">
            <v>0</v>
          </cell>
          <cell r="N272" t="str">
            <v>Y</v>
          </cell>
          <cell r="O272" t="str">
            <v>해당없음</v>
          </cell>
          <cell r="P272" t="str">
            <v/>
          </cell>
          <cell r="Q272" t="str">
            <v>N</v>
          </cell>
          <cell r="R272">
            <v>510502</v>
          </cell>
        </row>
        <row r="273">
          <cell r="A273">
            <v>249808</v>
          </cell>
          <cell r="B273" t="str">
            <v>델몬트 망고 캔 음료수 180ml 30개</v>
          </cell>
          <cell r="C273" t="str">
            <v>115210</v>
          </cell>
          <cell r="D273" t="str">
            <v>식품 &gt; 생수/음료/커피 &gt; 음료 &gt; 과일/야채음료</v>
          </cell>
          <cell r="E273" t="str">
            <v>102802</v>
          </cell>
          <cell r="F273" t="str">
            <v>기본카테고리 &gt; 가공식품 &gt; 음료/파우더/시럽 &gt; 탄산음료/기타음료</v>
          </cell>
          <cell r="G273" t="str">
            <v>2023-06-07 17:17:08</v>
          </cell>
          <cell r="H273" t="str">
            <v/>
          </cell>
          <cell r="I273" t="str">
            <v>Y</v>
          </cell>
          <cell r="J273" t="str">
            <v>Y</v>
          </cell>
          <cell r="K273" t="str">
            <v>N</v>
          </cell>
          <cell r="L273" t="str">
            <v>할인율</v>
          </cell>
          <cell r="M273">
            <v>0</v>
          </cell>
          <cell r="N273" t="str">
            <v>Y</v>
          </cell>
          <cell r="O273" t="str">
            <v>해당없음</v>
          </cell>
          <cell r="P273" t="str">
            <v/>
          </cell>
          <cell r="Q273" t="str">
            <v>N</v>
          </cell>
          <cell r="R273">
            <v>510501</v>
          </cell>
        </row>
        <row r="274">
          <cell r="A274">
            <v>249807</v>
          </cell>
          <cell r="B274" t="str">
            <v>환타 오렌지 캔 250ml 30개</v>
          </cell>
          <cell r="C274" t="str">
            <v>101045</v>
          </cell>
          <cell r="D274" t="str">
            <v>식품 &gt; 생수/음료/커피 &gt; 음료 &gt; 탄산음료 &gt; 기타탄산음료</v>
          </cell>
          <cell r="E274" t="str">
            <v>102802</v>
          </cell>
          <cell r="F274" t="str">
            <v>기본카테고리 &gt; 가공식품 &gt; 음료/파우더/시럽 &gt; 탄산음료/기타음료</v>
          </cell>
          <cell r="G274" t="str">
            <v>2023-06-07 17:17:08</v>
          </cell>
          <cell r="H274" t="str">
            <v/>
          </cell>
          <cell r="I274" t="str">
            <v>Y</v>
          </cell>
          <cell r="J274" t="str">
            <v>Y</v>
          </cell>
          <cell r="K274" t="str">
            <v>N</v>
          </cell>
          <cell r="L274" t="str">
            <v>할인율</v>
          </cell>
          <cell r="M274">
            <v>0</v>
          </cell>
          <cell r="N274" t="str">
            <v>Y</v>
          </cell>
          <cell r="O274" t="str">
            <v>해당없음</v>
          </cell>
          <cell r="P274" t="str">
            <v/>
          </cell>
          <cell r="Q274" t="str">
            <v>N</v>
          </cell>
          <cell r="R274">
            <v>510500</v>
          </cell>
        </row>
        <row r="275">
          <cell r="A275">
            <v>249805</v>
          </cell>
          <cell r="B275" t="str">
            <v>동아제약 오로나민C 120ml 50개</v>
          </cell>
          <cell r="C275" t="str">
            <v>101021</v>
          </cell>
          <cell r="D275" t="str">
            <v>식품 &gt; 생수/음료/커피 &gt; 음료 &gt; 건강/기능성음료 &gt; 비타민음료</v>
          </cell>
          <cell r="E275" t="str">
            <v>102802</v>
          </cell>
          <cell r="F275" t="str">
            <v>기본카테고리 &gt; 가공식품 &gt; 음료/파우더/시럽 &gt; 탄산음료/기타음료</v>
          </cell>
          <cell r="G275" t="str">
            <v>2023-06-07 17:17:08</v>
          </cell>
          <cell r="H275" t="str">
            <v/>
          </cell>
          <cell r="I275" t="str">
            <v>Y</v>
          </cell>
          <cell r="J275" t="str">
            <v>Y</v>
          </cell>
          <cell r="K275" t="str">
            <v>N</v>
          </cell>
          <cell r="L275" t="str">
            <v>할인율</v>
          </cell>
          <cell r="M275">
            <v>0</v>
          </cell>
          <cell r="N275" t="str">
            <v>Y</v>
          </cell>
          <cell r="O275" t="str">
            <v>해당없음</v>
          </cell>
          <cell r="P275" t="str">
            <v/>
          </cell>
          <cell r="Q275" t="str">
            <v>N</v>
          </cell>
          <cell r="R275">
            <v>510498</v>
          </cell>
        </row>
        <row r="276">
          <cell r="A276">
            <v>249804</v>
          </cell>
          <cell r="B276" t="str">
            <v>해태 코코팜화이트 240ml 30캔</v>
          </cell>
          <cell r="C276" t="str">
            <v>101045</v>
          </cell>
          <cell r="D276" t="str">
            <v>식품 &gt; 생수/음료/커피 &gt; 음료 &gt; 탄산음료 &gt; 기타탄산음료</v>
          </cell>
          <cell r="E276" t="str">
            <v>102802</v>
          </cell>
          <cell r="F276" t="str">
            <v>기본카테고리 &gt; 가공식품 &gt; 음료/파우더/시럽 &gt; 탄산음료/기타음료</v>
          </cell>
          <cell r="G276" t="str">
            <v>2023-06-07 17:17:08</v>
          </cell>
          <cell r="H276" t="str">
            <v/>
          </cell>
          <cell r="I276" t="str">
            <v>Y</v>
          </cell>
          <cell r="J276" t="str">
            <v>Y</v>
          </cell>
          <cell r="K276" t="str">
            <v>N</v>
          </cell>
          <cell r="L276" t="str">
            <v>할인율</v>
          </cell>
          <cell r="M276">
            <v>0</v>
          </cell>
          <cell r="N276" t="str">
            <v>Y</v>
          </cell>
          <cell r="O276" t="str">
            <v>해당없음</v>
          </cell>
          <cell r="P276" t="str">
            <v/>
          </cell>
          <cell r="Q276" t="str">
            <v>N</v>
          </cell>
          <cell r="R276">
            <v>510497</v>
          </cell>
        </row>
        <row r="277">
          <cell r="A277">
            <v>249803</v>
          </cell>
          <cell r="B277" t="str">
            <v>코라콜라 제로 업소용 355ml 24개</v>
          </cell>
          <cell r="C277" t="str">
            <v>101045</v>
          </cell>
          <cell r="D277" t="str">
            <v>식품 &gt; 생수/음료/커피 &gt; 음료 &gt; 탄산음료 &gt; 기타탄산음료</v>
          </cell>
          <cell r="E277" t="str">
            <v>102802</v>
          </cell>
          <cell r="F277" t="str">
            <v>기본카테고리 &gt; 가공식품 &gt; 음료/파우더/시럽 &gt; 탄산음료/기타음료</v>
          </cell>
          <cell r="G277" t="str">
            <v>2023-06-07 17:17:08</v>
          </cell>
          <cell r="H277" t="str">
            <v/>
          </cell>
          <cell r="I277" t="str">
            <v>Y</v>
          </cell>
          <cell r="J277" t="str">
            <v>Y</v>
          </cell>
          <cell r="K277" t="str">
            <v>N</v>
          </cell>
          <cell r="L277" t="str">
            <v>할인율</v>
          </cell>
          <cell r="M277">
            <v>0</v>
          </cell>
          <cell r="N277" t="str">
            <v>Y</v>
          </cell>
          <cell r="O277" t="str">
            <v>해당없음</v>
          </cell>
          <cell r="P277" t="str">
            <v/>
          </cell>
          <cell r="Q277" t="str">
            <v>N</v>
          </cell>
          <cell r="R277">
            <v>510496</v>
          </cell>
        </row>
        <row r="278">
          <cell r="A278">
            <v>249802</v>
          </cell>
          <cell r="B278" t="str">
            <v>웅진 자연은 요거상큼복숭아 1.5L 12개</v>
          </cell>
          <cell r="C278" t="str">
            <v>115210</v>
          </cell>
          <cell r="D278" t="str">
            <v>식품 &gt; 생수/음료/커피 &gt; 음료 &gt; 과일/야채음료</v>
          </cell>
          <cell r="E278" t="str">
            <v>102802</v>
          </cell>
          <cell r="F278" t="str">
            <v>기본카테고리 &gt; 가공식품 &gt; 음료/파우더/시럽 &gt; 탄산음료/기타음료</v>
          </cell>
          <cell r="G278" t="str">
            <v>2023-06-07 17:17:08</v>
          </cell>
          <cell r="H278" t="str">
            <v/>
          </cell>
          <cell r="I278" t="str">
            <v>Y</v>
          </cell>
          <cell r="J278" t="str">
            <v>Y</v>
          </cell>
          <cell r="K278" t="str">
            <v>N</v>
          </cell>
          <cell r="L278" t="str">
            <v>할인율</v>
          </cell>
          <cell r="M278">
            <v>0</v>
          </cell>
          <cell r="N278" t="str">
            <v>Y</v>
          </cell>
          <cell r="O278" t="str">
            <v>해당없음</v>
          </cell>
          <cell r="P278" t="str">
            <v/>
          </cell>
          <cell r="Q278" t="str">
            <v>N</v>
          </cell>
          <cell r="R278">
            <v>510495</v>
          </cell>
        </row>
        <row r="279">
          <cell r="A279">
            <v>249801</v>
          </cell>
          <cell r="B279" t="str">
            <v>트레비 190ml 캔 30개</v>
          </cell>
          <cell r="C279" t="str">
            <v>101045</v>
          </cell>
          <cell r="D279" t="str">
            <v>식품 &gt; 생수/음료/커피 &gt; 음료 &gt; 탄산음료 &gt; 기타탄산음료</v>
          </cell>
          <cell r="E279" t="str">
            <v>102802</v>
          </cell>
          <cell r="F279" t="str">
            <v>기본카테고리 &gt; 가공식품 &gt; 음료/파우더/시럽 &gt; 탄산음료/기타음료</v>
          </cell>
          <cell r="G279" t="str">
            <v>2023-06-07 17:17:08</v>
          </cell>
          <cell r="H279" t="str">
            <v/>
          </cell>
          <cell r="I279" t="str">
            <v>Y</v>
          </cell>
          <cell r="J279" t="str">
            <v>Y</v>
          </cell>
          <cell r="K279" t="str">
            <v>N</v>
          </cell>
          <cell r="L279" t="str">
            <v>할인율</v>
          </cell>
          <cell r="M279">
            <v>0</v>
          </cell>
          <cell r="N279" t="str">
            <v>Y</v>
          </cell>
          <cell r="O279" t="str">
            <v>해당없음</v>
          </cell>
          <cell r="P279" t="str">
            <v/>
          </cell>
          <cell r="Q279" t="str">
            <v>N</v>
          </cell>
          <cell r="R279">
            <v>510494</v>
          </cell>
        </row>
        <row r="280">
          <cell r="A280">
            <v>249800</v>
          </cell>
          <cell r="B280" t="str">
            <v>해태 갈아만든배 캔 238ml 24개</v>
          </cell>
          <cell r="C280" t="str">
            <v>115210</v>
          </cell>
          <cell r="D280" t="str">
            <v>식품 &gt; 생수/음료/커피 &gt; 음료 &gt; 과일/야채음료</v>
          </cell>
          <cell r="E280" t="str">
            <v>102802</v>
          </cell>
          <cell r="F280" t="str">
            <v>기본카테고리 &gt; 가공식품 &gt; 음료/파우더/시럽 &gt; 탄산음료/기타음료</v>
          </cell>
          <cell r="G280" t="str">
            <v>2023-06-07 17:17:08</v>
          </cell>
          <cell r="H280" t="str">
            <v/>
          </cell>
          <cell r="I280" t="str">
            <v>Y</v>
          </cell>
          <cell r="J280" t="str">
            <v>Y</v>
          </cell>
          <cell r="K280" t="str">
            <v>N</v>
          </cell>
          <cell r="L280" t="str">
            <v>할인율</v>
          </cell>
          <cell r="M280">
            <v>0</v>
          </cell>
          <cell r="N280" t="str">
            <v>Y</v>
          </cell>
          <cell r="O280" t="str">
            <v>해당없음</v>
          </cell>
          <cell r="P280" t="str">
            <v/>
          </cell>
          <cell r="Q280" t="str">
            <v>N</v>
          </cell>
          <cell r="R280">
            <v>510493</v>
          </cell>
        </row>
        <row r="281">
          <cell r="A281">
            <v>249797</v>
          </cell>
          <cell r="B281" t="str">
            <v>해태 코코팜 포도 238ml 72개</v>
          </cell>
          <cell r="C281" t="str">
            <v>101045</v>
          </cell>
          <cell r="D281" t="str">
            <v>식품 &gt; 생수/음료/커피 &gt; 음료 &gt; 탄산음료 &gt; 기타탄산음료</v>
          </cell>
          <cell r="E281" t="str">
            <v>102802</v>
          </cell>
          <cell r="F281" t="str">
            <v>기본카테고리 &gt; 가공식품 &gt; 음료/파우더/시럽 &gt; 탄산음료/기타음료</v>
          </cell>
          <cell r="G281" t="str">
            <v>2023-06-07 17:17:08</v>
          </cell>
          <cell r="H281" t="str">
            <v/>
          </cell>
          <cell r="I281" t="str">
            <v>Y</v>
          </cell>
          <cell r="J281" t="str">
            <v>Y</v>
          </cell>
          <cell r="K281" t="str">
            <v>N</v>
          </cell>
          <cell r="L281" t="str">
            <v>할인율</v>
          </cell>
          <cell r="M281">
            <v>0</v>
          </cell>
          <cell r="N281" t="str">
            <v>Y</v>
          </cell>
          <cell r="O281" t="str">
            <v>해당없음</v>
          </cell>
          <cell r="P281" t="str">
            <v/>
          </cell>
          <cell r="Q281" t="str">
            <v>N</v>
          </cell>
          <cell r="R281">
            <v>510490</v>
          </cell>
        </row>
        <row r="282">
          <cell r="A282">
            <v>249796</v>
          </cell>
          <cell r="B282" t="str">
            <v>해태 갈아만든배 238ml 72개</v>
          </cell>
          <cell r="C282" t="str">
            <v>115210</v>
          </cell>
          <cell r="D282" t="str">
            <v>식품 &gt; 생수/음료/커피 &gt; 음료 &gt; 과일/야채음료</v>
          </cell>
          <cell r="E282" t="str">
            <v>102802</v>
          </cell>
          <cell r="F282" t="str">
            <v>기본카테고리 &gt; 가공식품 &gt; 음료/파우더/시럽 &gt; 탄산음료/기타음료</v>
          </cell>
          <cell r="G282" t="str">
            <v>2023-06-07 17:17:08</v>
          </cell>
          <cell r="H282" t="str">
            <v/>
          </cell>
          <cell r="I282" t="str">
            <v>Y</v>
          </cell>
          <cell r="J282" t="str">
            <v>Y</v>
          </cell>
          <cell r="K282" t="str">
            <v>N</v>
          </cell>
          <cell r="L282" t="str">
            <v>할인율</v>
          </cell>
          <cell r="M282">
            <v>0</v>
          </cell>
          <cell r="N282" t="str">
            <v>Y</v>
          </cell>
          <cell r="O282" t="str">
            <v>해당없음</v>
          </cell>
          <cell r="P282" t="str">
            <v/>
          </cell>
          <cell r="Q282" t="str">
            <v>N</v>
          </cell>
          <cell r="R282">
            <v>510489</v>
          </cell>
        </row>
        <row r="283">
          <cell r="A283">
            <v>249795</v>
          </cell>
          <cell r="B283" t="str">
            <v>웅진 하늘보리500ml 20개</v>
          </cell>
          <cell r="C283" t="str">
            <v>101032</v>
          </cell>
          <cell r="D283" t="str">
            <v>식품 &gt; 생수/음료/커피 &gt; 음료 &gt; 전통/차음료 &gt; 보리차음료</v>
          </cell>
          <cell r="E283" t="str">
            <v>102802</v>
          </cell>
          <cell r="F283" t="str">
            <v>기본카테고리 &gt; 가공식품 &gt; 음료/파우더/시럽 &gt; 탄산음료/기타음료</v>
          </cell>
          <cell r="G283" t="str">
            <v>2023-06-07 17:17:08</v>
          </cell>
          <cell r="H283" t="str">
            <v/>
          </cell>
          <cell r="I283" t="str">
            <v>Y</v>
          </cell>
          <cell r="J283" t="str">
            <v>Y</v>
          </cell>
          <cell r="K283" t="str">
            <v>N</v>
          </cell>
          <cell r="L283" t="str">
            <v>할인율</v>
          </cell>
          <cell r="M283">
            <v>0</v>
          </cell>
          <cell r="N283" t="str">
            <v>Y</v>
          </cell>
          <cell r="O283" t="str">
            <v>해당없음</v>
          </cell>
          <cell r="P283" t="str">
            <v/>
          </cell>
          <cell r="Q283" t="str">
            <v>N</v>
          </cell>
          <cell r="R283">
            <v>510488</v>
          </cell>
        </row>
        <row r="284">
          <cell r="A284">
            <v>249794</v>
          </cell>
          <cell r="B284" t="str">
            <v>해태 포도봉봉 238ml 72개</v>
          </cell>
          <cell r="C284" t="str">
            <v>101045</v>
          </cell>
          <cell r="D284" t="str">
            <v>식품 &gt; 생수/음료/커피 &gt; 음료 &gt; 탄산음료 &gt; 기타탄산음료</v>
          </cell>
          <cell r="E284" t="str">
            <v>102802</v>
          </cell>
          <cell r="F284" t="str">
            <v>기본카테고리 &gt; 가공식품 &gt; 음료/파우더/시럽 &gt; 탄산음료/기타음료</v>
          </cell>
          <cell r="G284" t="str">
            <v>2023-06-07 17:17:08</v>
          </cell>
          <cell r="H284" t="str">
            <v/>
          </cell>
          <cell r="I284" t="str">
            <v>Y</v>
          </cell>
          <cell r="J284" t="str">
            <v>Y</v>
          </cell>
          <cell r="K284" t="str">
            <v>N</v>
          </cell>
          <cell r="L284" t="str">
            <v>할인율</v>
          </cell>
          <cell r="M284">
            <v>0</v>
          </cell>
          <cell r="N284" t="str">
            <v>Y</v>
          </cell>
          <cell r="O284" t="str">
            <v>해당없음</v>
          </cell>
          <cell r="P284" t="str">
            <v/>
          </cell>
          <cell r="Q284" t="str">
            <v>N</v>
          </cell>
          <cell r="R284">
            <v>510487</v>
          </cell>
        </row>
        <row r="285">
          <cell r="A285">
            <v>249793</v>
          </cell>
          <cell r="B285" t="str">
            <v>웅진 초록매실 500ml 20개</v>
          </cell>
          <cell r="C285" t="str">
            <v>115210</v>
          </cell>
          <cell r="D285" t="str">
            <v>식품 &gt; 생수/음료/커피 &gt; 음료 &gt; 과일/야채음료</v>
          </cell>
          <cell r="E285" t="str">
            <v>102802</v>
          </cell>
          <cell r="F285" t="str">
            <v>기본카테고리 &gt; 가공식품 &gt; 음료/파우더/시럽 &gt; 탄산음료/기타음료</v>
          </cell>
          <cell r="G285" t="str">
            <v>2023-06-07 17:17:08</v>
          </cell>
          <cell r="H285" t="str">
            <v/>
          </cell>
          <cell r="I285" t="str">
            <v>Y</v>
          </cell>
          <cell r="J285" t="str">
            <v>Y</v>
          </cell>
          <cell r="K285" t="str">
            <v>N</v>
          </cell>
          <cell r="L285" t="str">
            <v>할인율</v>
          </cell>
          <cell r="M285">
            <v>0</v>
          </cell>
          <cell r="N285" t="str">
            <v>Y</v>
          </cell>
          <cell r="O285" t="str">
            <v>해당없음</v>
          </cell>
          <cell r="P285" t="str">
            <v/>
          </cell>
          <cell r="Q285" t="str">
            <v>N</v>
          </cell>
          <cell r="R285">
            <v>510486</v>
          </cell>
        </row>
        <row r="286">
          <cell r="A286">
            <v>249792</v>
          </cell>
          <cell r="B286" t="str">
            <v>동아제약 오란씨 파인애플맛 250ml 30개</v>
          </cell>
          <cell r="C286" t="str">
            <v>101045</v>
          </cell>
          <cell r="D286" t="str">
            <v>식품 &gt; 생수/음료/커피 &gt; 음료 &gt; 탄산음료 &gt; 기타탄산음료</v>
          </cell>
          <cell r="E286" t="str">
            <v>102802</v>
          </cell>
          <cell r="F286" t="str">
            <v>기본카테고리 &gt; 가공식품 &gt; 음료/파우더/시럽 &gt; 탄산음료/기타음료</v>
          </cell>
          <cell r="G286" t="str">
            <v>2023-06-07 17:17:08</v>
          </cell>
          <cell r="H286" t="str">
            <v/>
          </cell>
          <cell r="I286" t="str">
            <v>Y</v>
          </cell>
          <cell r="J286" t="str">
            <v>Y</v>
          </cell>
          <cell r="K286" t="str">
            <v>N</v>
          </cell>
          <cell r="L286" t="str">
            <v>할인율</v>
          </cell>
          <cell r="M286">
            <v>0</v>
          </cell>
          <cell r="N286" t="str">
            <v>Y</v>
          </cell>
          <cell r="O286" t="str">
            <v>해당없음</v>
          </cell>
          <cell r="P286" t="str">
            <v/>
          </cell>
          <cell r="Q286" t="str">
            <v>N</v>
          </cell>
          <cell r="R286">
            <v>510485</v>
          </cell>
        </row>
        <row r="287">
          <cell r="A287">
            <v>249791</v>
          </cell>
          <cell r="B287" t="str">
            <v>밀키스 제로 500ml 6개</v>
          </cell>
          <cell r="C287" t="str">
            <v>101045</v>
          </cell>
          <cell r="D287" t="str">
            <v>식품 &gt; 생수/음료/커피 &gt; 음료 &gt; 탄산음료 &gt; 기타탄산음료</v>
          </cell>
          <cell r="E287" t="str">
            <v>102802</v>
          </cell>
          <cell r="F287" t="str">
            <v>기본카테고리 &gt; 가공식품 &gt; 음료/파우더/시럽 &gt; 탄산음료/기타음료</v>
          </cell>
          <cell r="G287" t="str">
            <v>2023-06-07 17:17:08</v>
          </cell>
          <cell r="H287" t="str">
            <v/>
          </cell>
          <cell r="I287" t="str">
            <v>Y</v>
          </cell>
          <cell r="J287" t="str">
            <v>Y</v>
          </cell>
          <cell r="K287" t="str">
            <v>N</v>
          </cell>
          <cell r="L287" t="str">
            <v>할인율</v>
          </cell>
          <cell r="M287">
            <v>0</v>
          </cell>
          <cell r="N287" t="str">
            <v>Y</v>
          </cell>
          <cell r="O287" t="str">
            <v>해당없음</v>
          </cell>
          <cell r="P287" t="str">
            <v/>
          </cell>
          <cell r="Q287" t="str">
            <v>N</v>
          </cell>
          <cell r="R287">
            <v>510484</v>
          </cell>
        </row>
        <row r="288">
          <cell r="A288">
            <v>249790</v>
          </cell>
          <cell r="B288" t="str">
            <v>롯데 핫식스 오리지널 250ml 30개</v>
          </cell>
          <cell r="C288" t="str">
            <v>101045</v>
          </cell>
          <cell r="D288" t="str">
            <v>식품 &gt; 생수/음료/커피 &gt; 음료 &gt; 탄산음료 &gt; 기타탄산음료</v>
          </cell>
          <cell r="E288" t="str">
            <v>102802</v>
          </cell>
          <cell r="F288" t="str">
            <v>기본카테고리 &gt; 가공식품 &gt; 음료/파우더/시럽 &gt; 탄산음료/기타음료</v>
          </cell>
          <cell r="G288" t="str">
            <v>2023-06-07 17:17:08</v>
          </cell>
          <cell r="H288" t="str">
            <v/>
          </cell>
          <cell r="I288" t="str">
            <v>Y</v>
          </cell>
          <cell r="J288" t="str">
            <v>Y</v>
          </cell>
          <cell r="K288" t="str">
            <v>N</v>
          </cell>
          <cell r="L288" t="str">
            <v>할인율</v>
          </cell>
          <cell r="M288">
            <v>0</v>
          </cell>
          <cell r="N288" t="str">
            <v>Y</v>
          </cell>
          <cell r="O288" t="str">
            <v>해당없음</v>
          </cell>
          <cell r="P288" t="str">
            <v/>
          </cell>
          <cell r="Q288" t="str">
            <v>N</v>
          </cell>
          <cell r="R288">
            <v>510483</v>
          </cell>
        </row>
        <row r="289">
          <cell r="A289">
            <v>249789</v>
          </cell>
          <cell r="B289" t="str">
            <v>파워에이드 340ml 24개</v>
          </cell>
          <cell r="C289" t="str">
            <v>101029</v>
          </cell>
          <cell r="D289" t="str">
            <v>식품 &gt; 생수/음료/커피 &gt; 음료 &gt; 스포츠/이온음료</v>
          </cell>
          <cell r="E289" t="str">
            <v>102802</v>
          </cell>
          <cell r="F289" t="str">
            <v>기본카테고리 &gt; 가공식품 &gt; 음료/파우더/시럽 &gt; 탄산음료/기타음료</v>
          </cell>
          <cell r="G289" t="str">
            <v>2023-06-07 17:17:08</v>
          </cell>
          <cell r="H289" t="str">
            <v/>
          </cell>
          <cell r="I289" t="str">
            <v>Y</v>
          </cell>
          <cell r="J289" t="str">
            <v>Y</v>
          </cell>
          <cell r="K289" t="str">
            <v>N</v>
          </cell>
          <cell r="L289" t="str">
            <v>할인율</v>
          </cell>
          <cell r="M289">
            <v>0</v>
          </cell>
          <cell r="N289" t="str">
            <v>Y</v>
          </cell>
          <cell r="O289" t="str">
            <v>해당없음</v>
          </cell>
          <cell r="P289" t="str">
            <v/>
          </cell>
          <cell r="Q289" t="str">
            <v>N</v>
          </cell>
          <cell r="R289">
            <v>510482</v>
          </cell>
        </row>
        <row r="290">
          <cell r="A290">
            <v>249788</v>
          </cell>
          <cell r="B290" t="str">
            <v>파워에이드 600ml 페트 20개</v>
          </cell>
          <cell r="C290" t="str">
            <v>101029</v>
          </cell>
          <cell r="D290" t="str">
            <v>식품 &gt; 생수/음료/커피 &gt; 음료 &gt; 스포츠/이온음료</v>
          </cell>
          <cell r="E290" t="str">
            <v>102802</v>
          </cell>
          <cell r="F290" t="str">
            <v>기본카테고리 &gt; 가공식품 &gt; 음료/파우더/시럽 &gt; 탄산음료/기타음료</v>
          </cell>
          <cell r="G290" t="str">
            <v>2023-06-07 17:17:08</v>
          </cell>
          <cell r="H290" t="str">
            <v/>
          </cell>
          <cell r="I290" t="str">
            <v>Y</v>
          </cell>
          <cell r="J290" t="str">
            <v>Y</v>
          </cell>
          <cell r="K290" t="str">
            <v>N</v>
          </cell>
          <cell r="L290" t="str">
            <v>할인율</v>
          </cell>
          <cell r="M290">
            <v>0</v>
          </cell>
          <cell r="N290" t="str">
            <v>Y</v>
          </cell>
          <cell r="O290" t="str">
            <v>해당없음</v>
          </cell>
          <cell r="P290" t="str">
            <v/>
          </cell>
          <cell r="Q290" t="str">
            <v>N</v>
          </cell>
          <cell r="R290">
            <v>510481</v>
          </cell>
        </row>
        <row r="291">
          <cell r="A291">
            <v>249786</v>
          </cell>
          <cell r="B291" t="str">
            <v>참맑은 복숭아 캔 175ml 30개</v>
          </cell>
          <cell r="C291" t="str">
            <v>115210</v>
          </cell>
          <cell r="D291" t="str">
            <v>식품 &gt; 생수/음료/커피 &gt; 음료 &gt; 과일/야채음료</v>
          </cell>
          <cell r="E291" t="str">
            <v>102802</v>
          </cell>
          <cell r="F291" t="str">
            <v>기본카테고리 &gt; 가공식품 &gt; 음료/파우더/시럽 &gt; 탄산음료/기타음료</v>
          </cell>
          <cell r="G291" t="str">
            <v>2023-06-07 17:17:08</v>
          </cell>
          <cell r="H291" t="str">
            <v/>
          </cell>
          <cell r="I291" t="str">
            <v>Y</v>
          </cell>
          <cell r="J291" t="str">
            <v>Y</v>
          </cell>
          <cell r="K291" t="str">
            <v>N</v>
          </cell>
          <cell r="L291" t="str">
            <v>할인율</v>
          </cell>
          <cell r="M291">
            <v>0</v>
          </cell>
          <cell r="N291" t="str">
            <v>Y</v>
          </cell>
          <cell r="O291" t="str">
            <v>해당없음</v>
          </cell>
          <cell r="P291" t="str">
            <v/>
          </cell>
          <cell r="Q291" t="str">
            <v>N</v>
          </cell>
          <cell r="R291">
            <v>510479</v>
          </cell>
        </row>
        <row r="292">
          <cell r="A292">
            <v>249785</v>
          </cell>
          <cell r="B292" t="str">
            <v>수미네 잔치집 식혜 340</v>
          </cell>
          <cell r="C292" t="str">
            <v>101034</v>
          </cell>
          <cell r="D292" t="str">
            <v>식품 &gt; 생수/음료/커피 &gt; 음료 &gt; 전통/차음료 &gt; 식혜</v>
          </cell>
          <cell r="E292" t="str">
            <v>102802</v>
          </cell>
          <cell r="F292" t="str">
            <v>기본카테고리 &gt; 가공식품 &gt; 음료/파우더/시럽 &gt; 탄산음료/기타음료</v>
          </cell>
          <cell r="G292" t="str">
            <v>2023-06-07 17:17:08</v>
          </cell>
          <cell r="H292" t="str">
            <v/>
          </cell>
          <cell r="I292" t="str">
            <v>Y</v>
          </cell>
          <cell r="J292" t="str">
            <v>Y</v>
          </cell>
          <cell r="K292" t="str">
            <v>N</v>
          </cell>
          <cell r="L292" t="str">
            <v>할인율</v>
          </cell>
          <cell r="M292">
            <v>0</v>
          </cell>
          <cell r="N292" t="str">
            <v>Y</v>
          </cell>
          <cell r="O292" t="str">
            <v>해당없음</v>
          </cell>
          <cell r="P292" t="str">
            <v/>
          </cell>
          <cell r="Q292" t="str">
            <v>N</v>
          </cell>
          <cell r="R292">
            <v>510478</v>
          </cell>
        </row>
        <row r="293">
          <cell r="A293">
            <v>249783</v>
          </cell>
          <cell r="B293" t="str">
            <v>해태 과일촌 아침에사과 500ml 24개</v>
          </cell>
          <cell r="C293" t="str">
            <v>115210</v>
          </cell>
          <cell r="D293" t="str">
            <v>식품 &gt; 생수/음료/커피 &gt; 음료 &gt; 과일/야채음료</v>
          </cell>
          <cell r="E293" t="str">
            <v>102802</v>
          </cell>
          <cell r="F293" t="str">
            <v>기본카테고리 &gt; 가공식품 &gt; 음료/파우더/시럽 &gt; 탄산음료/기타음료</v>
          </cell>
          <cell r="G293" t="str">
            <v>2023-06-07 17:17:08</v>
          </cell>
          <cell r="H293" t="str">
            <v/>
          </cell>
          <cell r="I293" t="str">
            <v>Y</v>
          </cell>
          <cell r="J293" t="str">
            <v>Y</v>
          </cell>
          <cell r="K293" t="str">
            <v>N</v>
          </cell>
          <cell r="L293" t="str">
            <v>할인율</v>
          </cell>
          <cell r="M293">
            <v>0</v>
          </cell>
          <cell r="N293" t="str">
            <v>Y</v>
          </cell>
          <cell r="O293" t="str">
            <v>해당없음</v>
          </cell>
          <cell r="P293" t="str">
            <v/>
          </cell>
          <cell r="Q293" t="str">
            <v>N</v>
          </cell>
          <cell r="R293">
            <v>510476</v>
          </cell>
        </row>
        <row r="294">
          <cell r="A294">
            <v>249782</v>
          </cell>
          <cell r="B294" t="str">
            <v>해태 갈아만든배 500ml 24개</v>
          </cell>
          <cell r="C294" t="str">
            <v>115210</v>
          </cell>
          <cell r="D294" t="str">
            <v>식품 &gt; 생수/음료/커피 &gt; 음료 &gt; 과일/야채음료</v>
          </cell>
          <cell r="E294" t="str">
            <v>102802</v>
          </cell>
          <cell r="F294" t="str">
            <v>기본카테고리 &gt; 가공식품 &gt; 음료/파우더/시럽 &gt; 탄산음료/기타음료</v>
          </cell>
          <cell r="G294" t="str">
            <v>2023-06-07 17:17:08</v>
          </cell>
          <cell r="H294" t="str">
            <v/>
          </cell>
          <cell r="I294" t="str">
            <v>Y</v>
          </cell>
          <cell r="J294" t="str">
            <v>Y</v>
          </cell>
          <cell r="K294" t="str">
            <v>N</v>
          </cell>
          <cell r="L294" t="str">
            <v>할인율</v>
          </cell>
          <cell r="M294">
            <v>0</v>
          </cell>
          <cell r="N294" t="str">
            <v>Y</v>
          </cell>
          <cell r="O294" t="str">
            <v>해당없음</v>
          </cell>
          <cell r="P294" t="str">
            <v/>
          </cell>
          <cell r="Q294" t="str">
            <v>N</v>
          </cell>
          <cell r="R294">
            <v>510475</v>
          </cell>
        </row>
        <row r="295">
          <cell r="A295">
            <v>249780</v>
          </cell>
          <cell r="B295" t="str">
            <v>동아제약 박카스F 120ml 50개</v>
          </cell>
          <cell r="C295" t="str">
            <v>101024</v>
          </cell>
          <cell r="D295" t="str">
            <v>식품 &gt; 생수/음료/커피 &gt; 음료 &gt; 건강/기능성음료 &gt; 에너지음료</v>
          </cell>
          <cell r="E295" t="str">
            <v>102802</v>
          </cell>
          <cell r="F295" t="str">
            <v>기본카테고리 &gt; 가공식품 &gt; 음료/파우더/시럽 &gt; 탄산음료/기타음료</v>
          </cell>
          <cell r="G295" t="str">
            <v>2023-06-07 17:17:08</v>
          </cell>
          <cell r="H295" t="str">
            <v/>
          </cell>
          <cell r="I295" t="str">
            <v>Y</v>
          </cell>
          <cell r="J295" t="str">
            <v>Y</v>
          </cell>
          <cell r="K295" t="str">
            <v>N</v>
          </cell>
          <cell r="L295" t="str">
            <v>할인율</v>
          </cell>
          <cell r="M295">
            <v>0</v>
          </cell>
          <cell r="N295" t="str">
            <v>Y</v>
          </cell>
          <cell r="O295" t="str">
            <v>해당없음</v>
          </cell>
          <cell r="P295" t="str">
            <v/>
          </cell>
          <cell r="Q295" t="str">
            <v>N</v>
          </cell>
          <cell r="R295">
            <v>510473</v>
          </cell>
        </row>
        <row r="296">
          <cell r="A296">
            <v>249779</v>
          </cell>
          <cell r="B296" t="str">
            <v>코카콜라 파워에이드 240ml 30개</v>
          </cell>
          <cell r="C296" t="str">
            <v>101045</v>
          </cell>
          <cell r="D296" t="str">
            <v>식품 &gt; 생수/음료/커피 &gt; 음료 &gt; 탄산음료 &gt; 기타탄산음료</v>
          </cell>
          <cell r="E296" t="str">
            <v>102802</v>
          </cell>
          <cell r="F296" t="str">
            <v>기본카테고리 &gt; 가공식품 &gt; 음료/파우더/시럽 &gt; 탄산음료/기타음료</v>
          </cell>
          <cell r="G296" t="str">
            <v>2023-06-07 17:17:08</v>
          </cell>
          <cell r="H296" t="str">
            <v/>
          </cell>
          <cell r="I296" t="str">
            <v>Y</v>
          </cell>
          <cell r="J296" t="str">
            <v>Y</v>
          </cell>
          <cell r="K296" t="str">
            <v>N</v>
          </cell>
          <cell r="L296" t="str">
            <v>할인율</v>
          </cell>
          <cell r="M296">
            <v>0</v>
          </cell>
          <cell r="N296" t="str">
            <v>Y</v>
          </cell>
          <cell r="O296" t="str">
            <v>해당없음</v>
          </cell>
          <cell r="P296" t="str">
            <v/>
          </cell>
          <cell r="Q296" t="str">
            <v>N</v>
          </cell>
          <cell r="R296">
            <v>510472</v>
          </cell>
        </row>
        <row r="297">
          <cell r="A297">
            <v>249778</v>
          </cell>
          <cell r="B297" t="str">
            <v>환타 오렌지 캔 185ml 30개</v>
          </cell>
          <cell r="C297" t="str">
            <v>101045</v>
          </cell>
          <cell r="D297" t="str">
            <v>식품 &gt; 생수/음료/커피 &gt; 음료 &gt; 탄산음료 &gt; 기타탄산음료</v>
          </cell>
          <cell r="E297" t="str">
            <v>102802</v>
          </cell>
          <cell r="F297" t="str">
            <v>기본카테고리 &gt; 가공식품 &gt; 음료/파우더/시럽 &gt; 탄산음료/기타음료</v>
          </cell>
          <cell r="G297" t="str">
            <v>2023-06-07 17:17:08</v>
          </cell>
          <cell r="H297" t="str">
            <v/>
          </cell>
          <cell r="I297" t="str">
            <v>Y</v>
          </cell>
          <cell r="J297" t="str">
            <v>Y</v>
          </cell>
          <cell r="K297" t="str">
            <v>N</v>
          </cell>
          <cell r="L297" t="str">
            <v>할인율</v>
          </cell>
          <cell r="M297">
            <v>0</v>
          </cell>
          <cell r="N297" t="str">
            <v>Y</v>
          </cell>
          <cell r="O297" t="str">
            <v>해당없음</v>
          </cell>
          <cell r="P297" t="str">
            <v/>
          </cell>
          <cell r="Q297" t="str">
            <v>N</v>
          </cell>
          <cell r="R297">
            <v>510471</v>
          </cell>
        </row>
        <row r="298">
          <cell r="A298">
            <v>249777</v>
          </cell>
          <cell r="B298" t="str">
            <v>환타 포도맛 1.5L 12개</v>
          </cell>
          <cell r="C298" t="str">
            <v>101045</v>
          </cell>
          <cell r="D298" t="str">
            <v>식품 &gt; 생수/음료/커피 &gt; 음료 &gt; 탄산음료 &gt; 기타탄산음료</v>
          </cell>
          <cell r="E298" t="str">
            <v>102802</v>
          </cell>
          <cell r="F298" t="str">
            <v>기본카테고리 &gt; 가공식품 &gt; 음료/파우더/시럽 &gt; 탄산음료/기타음료</v>
          </cell>
          <cell r="G298" t="str">
            <v>2023-06-07 17:17:08</v>
          </cell>
          <cell r="H298" t="str">
            <v/>
          </cell>
          <cell r="I298" t="str">
            <v>Y</v>
          </cell>
          <cell r="J298" t="str">
            <v>Y</v>
          </cell>
          <cell r="K298" t="str">
            <v>N</v>
          </cell>
          <cell r="L298" t="str">
            <v>할인율</v>
          </cell>
          <cell r="M298">
            <v>0</v>
          </cell>
          <cell r="N298" t="str">
            <v>Y</v>
          </cell>
          <cell r="O298" t="str">
            <v>해당없음</v>
          </cell>
          <cell r="P298" t="str">
            <v/>
          </cell>
          <cell r="Q298" t="str">
            <v>N</v>
          </cell>
          <cell r="R298">
            <v>510470</v>
          </cell>
        </row>
        <row r="299">
          <cell r="A299">
            <v>249776</v>
          </cell>
          <cell r="B299" t="str">
            <v>롯데칠성 게토레이 600ml 20개</v>
          </cell>
          <cell r="C299" t="str">
            <v>101029</v>
          </cell>
          <cell r="D299" t="str">
            <v>식품 &gt; 생수/음료/커피 &gt; 음료 &gt; 스포츠/이온음료</v>
          </cell>
          <cell r="E299" t="str">
            <v>102802</v>
          </cell>
          <cell r="F299" t="str">
            <v>기본카테고리 &gt; 가공식품 &gt; 음료/파우더/시럽 &gt; 탄산음료/기타음료</v>
          </cell>
          <cell r="G299" t="str">
            <v>2023-06-07 17:17:08</v>
          </cell>
          <cell r="H299" t="str">
            <v/>
          </cell>
          <cell r="I299" t="str">
            <v>Y</v>
          </cell>
          <cell r="J299" t="str">
            <v>Y</v>
          </cell>
          <cell r="K299" t="str">
            <v>N</v>
          </cell>
          <cell r="L299" t="str">
            <v>할인율</v>
          </cell>
          <cell r="M299">
            <v>0</v>
          </cell>
          <cell r="N299" t="str">
            <v>Y</v>
          </cell>
          <cell r="O299" t="str">
            <v>해당없음</v>
          </cell>
          <cell r="P299" t="str">
            <v/>
          </cell>
          <cell r="Q299" t="str">
            <v>N</v>
          </cell>
          <cell r="R299">
            <v>510469</v>
          </cell>
        </row>
        <row r="300">
          <cell r="A300">
            <v>249774</v>
          </cell>
          <cell r="B300" t="str">
            <v>환타  업소용 파인 350ml 24개</v>
          </cell>
          <cell r="C300" t="str">
            <v>101045</v>
          </cell>
          <cell r="D300" t="str">
            <v>식품 &gt; 생수/음료/커피 &gt; 음료 &gt; 탄산음료 &gt; 기타탄산음료</v>
          </cell>
          <cell r="E300" t="str">
            <v>102802</v>
          </cell>
          <cell r="F300" t="str">
            <v>기본카테고리 &gt; 가공식품 &gt; 음료/파우더/시럽 &gt; 탄산음료/기타음료</v>
          </cell>
          <cell r="G300" t="str">
            <v>2023-06-07 17:17:08</v>
          </cell>
          <cell r="H300" t="str">
            <v/>
          </cell>
          <cell r="I300" t="str">
            <v>Y</v>
          </cell>
          <cell r="J300" t="str">
            <v>Y</v>
          </cell>
          <cell r="K300" t="str">
            <v>N</v>
          </cell>
          <cell r="L300" t="str">
            <v>할인율</v>
          </cell>
          <cell r="M300">
            <v>0</v>
          </cell>
          <cell r="N300" t="str">
            <v>Y</v>
          </cell>
          <cell r="O300" t="str">
            <v>해당없음</v>
          </cell>
          <cell r="P300" t="str">
            <v/>
          </cell>
          <cell r="Q300" t="str">
            <v>N</v>
          </cell>
          <cell r="R300">
            <v>510467</v>
          </cell>
        </row>
        <row r="301">
          <cell r="A301">
            <v>249773</v>
          </cell>
          <cell r="B301" t="str">
            <v>일화 천연사이다 1.5L 12개</v>
          </cell>
          <cell r="C301" t="str">
            <v>101045</v>
          </cell>
          <cell r="D301" t="str">
            <v>식품 &gt; 생수/음료/커피 &gt; 음료 &gt; 탄산음료 &gt; 기타탄산음료</v>
          </cell>
          <cell r="E301" t="str">
            <v>102802</v>
          </cell>
          <cell r="F301" t="str">
            <v>기본카테고리 &gt; 가공식품 &gt; 음료/파우더/시럽 &gt; 탄산음료/기타음료</v>
          </cell>
          <cell r="G301" t="str">
            <v>2023-06-07 17:17:08</v>
          </cell>
          <cell r="H301" t="str">
            <v/>
          </cell>
          <cell r="I301" t="str">
            <v>Y</v>
          </cell>
          <cell r="J301" t="str">
            <v>Y</v>
          </cell>
          <cell r="K301" t="str">
            <v>N</v>
          </cell>
          <cell r="L301" t="str">
            <v>할인율</v>
          </cell>
          <cell r="M301">
            <v>0</v>
          </cell>
          <cell r="N301" t="str">
            <v>Y</v>
          </cell>
          <cell r="O301" t="str">
            <v>해당없음</v>
          </cell>
          <cell r="P301" t="str">
            <v/>
          </cell>
          <cell r="Q301" t="str">
            <v>N</v>
          </cell>
          <cell r="R301">
            <v>510466</v>
          </cell>
        </row>
        <row r="302">
          <cell r="A302">
            <v>249772</v>
          </cell>
          <cell r="B302" t="str">
            <v>웅진 맑게 우려낸 누룽지 1.5L 12개</v>
          </cell>
          <cell r="C302" t="str">
            <v>101040</v>
          </cell>
          <cell r="D302" t="str">
            <v>식품 &gt; 생수/음료/커피 &gt; 음료 &gt; 전통/차음료 &gt; 기타차음료</v>
          </cell>
          <cell r="E302" t="str">
            <v>102802</v>
          </cell>
          <cell r="F302" t="str">
            <v>기본카테고리 &gt; 가공식품 &gt; 음료/파우더/시럽 &gt; 탄산음료/기타음료</v>
          </cell>
          <cell r="G302" t="str">
            <v>2023-06-07 17:17:08</v>
          </cell>
          <cell r="H302" t="str">
            <v/>
          </cell>
          <cell r="I302" t="str">
            <v>Y</v>
          </cell>
          <cell r="J302" t="str">
            <v>Y</v>
          </cell>
          <cell r="K302" t="str">
            <v>N</v>
          </cell>
          <cell r="L302" t="str">
            <v>할인율</v>
          </cell>
          <cell r="M302">
            <v>0</v>
          </cell>
          <cell r="N302" t="str">
            <v>Y</v>
          </cell>
          <cell r="O302" t="str">
            <v>해당없음</v>
          </cell>
          <cell r="P302" t="str">
            <v/>
          </cell>
          <cell r="Q302" t="str">
            <v>N</v>
          </cell>
          <cell r="R302">
            <v>510465</v>
          </cell>
        </row>
        <row r="303">
          <cell r="A303">
            <v>249771</v>
          </cell>
          <cell r="B303" t="str">
            <v>남양 17차 500ml 20개</v>
          </cell>
          <cell r="C303" t="str">
            <v>101040</v>
          </cell>
          <cell r="D303" t="str">
            <v>식품 &gt; 생수/음료/커피 &gt; 음료 &gt; 전통/차음료 &gt; 기타차음료</v>
          </cell>
          <cell r="E303" t="str">
            <v>102802</v>
          </cell>
          <cell r="F303" t="str">
            <v>기본카테고리 &gt; 가공식품 &gt; 음료/파우더/시럽 &gt; 탄산음료/기타음료</v>
          </cell>
          <cell r="G303" t="str">
            <v>2023-06-07 17:17:08</v>
          </cell>
          <cell r="H303" t="str">
            <v/>
          </cell>
          <cell r="I303" t="str">
            <v>Y</v>
          </cell>
          <cell r="J303" t="str">
            <v>Y</v>
          </cell>
          <cell r="K303" t="str">
            <v>N</v>
          </cell>
          <cell r="L303" t="str">
            <v>할인율</v>
          </cell>
          <cell r="M303">
            <v>0</v>
          </cell>
          <cell r="N303" t="str">
            <v>Y</v>
          </cell>
          <cell r="O303" t="str">
            <v>해당없음</v>
          </cell>
          <cell r="P303" t="str">
            <v/>
          </cell>
          <cell r="Q303" t="str">
            <v>N</v>
          </cell>
          <cell r="R303">
            <v>510464</v>
          </cell>
        </row>
        <row r="304">
          <cell r="A304">
            <v>249770</v>
          </cell>
          <cell r="B304" t="str">
            <v>환타 파인 캔 250ml 30개</v>
          </cell>
          <cell r="C304" t="str">
            <v>101045</v>
          </cell>
          <cell r="D304" t="str">
            <v>식품 &gt; 생수/음료/커피 &gt; 음료 &gt; 탄산음료 &gt; 기타탄산음료</v>
          </cell>
          <cell r="E304" t="str">
            <v>102802</v>
          </cell>
          <cell r="F304" t="str">
            <v>기본카테고리 &gt; 가공식품 &gt; 음료/파우더/시럽 &gt; 탄산음료/기타음료</v>
          </cell>
          <cell r="G304" t="str">
            <v>2023-06-07 17:17:08</v>
          </cell>
          <cell r="H304" t="str">
            <v/>
          </cell>
          <cell r="I304" t="str">
            <v>Y</v>
          </cell>
          <cell r="J304" t="str">
            <v>Y</v>
          </cell>
          <cell r="K304" t="str">
            <v>N</v>
          </cell>
          <cell r="L304" t="str">
            <v>할인율</v>
          </cell>
          <cell r="M304">
            <v>0</v>
          </cell>
          <cell r="N304" t="str">
            <v>Y</v>
          </cell>
          <cell r="O304" t="str">
            <v>해당없음</v>
          </cell>
          <cell r="P304" t="str">
            <v/>
          </cell>
          <cell r="Q304" t="str">
            <v>N</v>
          </cell>
          <cell r="R304">
            <v>510463</v>
          </cell>
        </row>
        <row r="305">
          <cell r="A305">
            <v>249769</v>
          </cell>
          <cell r="B305" t="str">
            <v>웅진 아침햇살 1.5L 12개</v>
          </cell>
          <cell r="C305" t="str">
            <v>115210</v>
          </cell>
          <cell r="D305" t="str">
            <v>식품 &gt; 생수/음료/커피 &gt; 음료 &gt; 과일/야채음료</v>
          </cell>
          <cell r="E305" t="str">
            <v>102802</v>
          </cell>
          <cell r="F305" t="str">
            <v>기본카테고리 &gt; 가공식품 &gt; 음료/파우더/시럽 &gt; 탄산음료/기타음료</v>
          </cell>
          <cell r="G305" t="str">
            <v>2023-06-07 17:17:08</v>
          </cell>
          <cell r="H305" t="str">
            <v/>
          </cell>
          <cell r="I305" t="str">
            <v>Y</v>
          </cell>
          <cell r="J305" t="str">
            <v>Y</v>
          </cell>
          <cell r="K305" t="str">
            <v>N</v>
          </cell>
          <cell r="L305" t="str">
            <v>할인율</v>
          </cell>
          <cell r="M305">
            <v>0</v>
          </cell>
          <cell r="N305" t="str">
            <v>Y</v>
          </cell>
          <cell r="O305" t="str">
            <v>해당없음</v>
          </cell>
          <cell r="P305" t="str">
            <v/>
          </cell>
          <cell r="Q305" t="str">
            <v>N</v>
          </cell>
          <cell r="R305">
            <v>510462</v>
          </cell>
        </row>
        <row r="306">
          <cell r="A306">
            <v>249768</v>
          </cell>
          <cell r="B306" t="str">
            <v>환타 오렌지 페트 600ml 24개</v>
          </cell>
          <cell r="C306" t="str">
            <v>101045</v>
          </cell>
          <cell r="D306" t="str">
            <v>식품 &gt; 생수/음료/커피 &gt; 음료 &gt; 탄산음료 &gt; 기타탄산음료</v>
          </cell>
          <cell r="E306" t="str">
            <v>102802</v>
          </cell>
          <cell r="F306" t="str">
            <v>기본카테고리 &gt; 가공식품 &gt; 음료/파우더/시럽 &gt; 탄산음료/기타음료</v>
          </cell>
          <cell r="G306" t="str">
            <v>2023-06-07 17:17:08</v>
          </cell>
          <cell r="H306" t="str">
            <v/>
          </cell>
          <cell r="I306" t="str">
            <v>Y</v>
          </cell>
          <cell r="J306" t="str">
            <v>Y</v>
          </cell>
          <cell r="K306" t="str">
            <v>N</v>
          </cell>
          <cell r="L306" t="str">
            <v>할인율</v>
          </cell>
          <cell r="M306">
            <v>0</v>
          </cell>
          <cell r="N306" t="str">
            <v>Y</v>
          </cell>
          <cell r="O306" t="str">
            <v>해당없음</v>
          </cell>
          <cell r="P306" t="str">
            <v/>
          </cell>
          <cell r="Q306" t="str">
            <v>N</v>
          </cell>
          <cell r="R306">
            <v>510461</v>
          </cell>
        </row>
        <row r="307">
          <cell r="A307">
            <v>249767</v>
          </cell>
          <cell r="B307" t="str">
            <v>코카콜라 환타 파인애플맛 600ml 24개</v>
          </cell>
          <cell r="C307" t="str">
            <v>101045</v>
          </cell>
          <cell r="D307" t="str">
            <v>식품 &gt; 생수/음료/커피 &gt; 음료 &gt; 탄산음료 &gt; 기타탄산음료</v>
          </cell>
          <cell r="E307" t="str">
            <v>102802</v>
          </cell>
          <cell r="F307" t="str">
            <v>기본카테고리 &gt; 가공식품 &gt; 음료/파우더/시럽 &gt; 탄산음료/기타음료</v>
          </cell>
          <cell r="G307" t="str">
            <v>2023-06-07 17:17:08</v>
          </cell>
          <cell r="H307" t="str">
            <v/>
          </cell>
          <cell r="I307" t="str">
            <v>Y</v>
          </cell>
          <cell r="J307" t="str">
            <v>Y</v>
          </cell>
          <cell r="K307" t="str">
            <v>N</v>
          </cell>
          <cell r="L307" t="str">
            <v>할인율</v>
          </cell>
          <cell r="M307">
            <v>0</v>
          </cell>
          <cell r="N307" t="str">
            <v>Y</v>
          </cell>
          <cell r="O307" t="str">
            <v>해당없음</v>
          </cell>
          <cell r="P307" t="str">
            <v/>
          </cell>
          <cell r="Q307" t="str">
            <v>N</v>
          </cell>
          <cell r="R307">
            <v>510460</v>
          </cell>
        </row>
        <row r="308">
          <cell r="A308">
            <v>249766</v>
          </cell>
          <cell r="B308" t="str">
            <v>환타 파인애플맛 1.5L 12개</v>
          </cell>
          <cell r="C308" t="str">
            <v>101045</v>
          </cell>
          <cell r="D308" t="str">
            <v>식품 &gt; 생수/음료/커피 &gt; 음료 &gt; 탄산음료 &gt; 기타탄산음료</v>
          </cell>
          <cell r="E308" t="str">
            <v>102802</v>
          </cell>
          <cell r="F308" t="str">
            <v>기본카테고리 &gt; 가공식품 &gt; 음료/파우더/시럽 &gt; 탄산음료/기타음료</v>
          </cell>
          <cell r="G308" t="str">
            <v>2023-06-07 17:17:08</v>
          </cell>
          <cell r="H308" t="str">
            <v/>
          </cell>
          <cell r="I308" t="str">
            <v>Y</v>
          </cell>
          <cell r="J308" t="str">
            <v>Y</v>
          </cell>
          <cell r="K308" t="str">
            <v>N</v>
          </cell>
          <cell r="L308" t="str">
            <v>할인율</v>
          </cell>
          <cell r="M308">
            <v>0</v>
          </cell>
          <cell r="N308" t="str">
            <v>Y</v>
          </cell>
          <cell r="O308" t="str">
            <v>해당없음</v>
          </cell>
          <cell r="P308" t="str">
            <v/>
          </cell>
          <cell r="Q308" t="str">
            <v>N</v>
          </cell>
          <cell r="R308">
            <v>510459</v>
          </cell>
        </row>
        <row r="309">
          <cell r="A309">
            <v>249765</v>
          </cell>
          <cell r="B309" t="str">
            <v>일화 초정 탄산수 500ml 20펫</v>
          </cell>
          <cell r="C309" t="str">
            <v>100979</v>
          </cell>
          <cell r="D309" t="str">
            <v>식품 &gt; 생수/음료/커피 &gt; 생수/탄산수 &gt; 탄산수</v>
          </cell>
          <cell r="E309" t="str">
            <v>102802</v>
          </cell>
          <cell r="F309" t="str">
            <v>기본카테고리 &gt; 가공식품 &gt; 음료/파우더/시럽 &gt; 탄산음료/기타음료</v>
          </cell>
          <cell r="G309" t="str">
            <v>2023-06-07 17:17:08</v>
          </cell>
          <cell r="H309" t="str">
            <v/>
          </cell>
          <cell r="I309" t="str">
            <v>Y</v>
          </cell>
          <cell r="J309" t="str">
            <v>Y</v>
          </cell>
          <cell r="K309" t="str">
            <v>N</v>
          </cell>
          <cell r="L309" t="str">
            <v>할인율</v>
          </cell>
          <cell r="M309">
            <v>0</v>
          </cell>
          <cell r="N309" t="str">
            <v>Y</v>
          </cell>
          <cell r="O309" t="str">
            <v>해당없음</v>
          </cell>
          <cell r="P309" t="str">
            <v/>
          </cell>
          <cell r="Q309" t="str">
            <v>N</v>
          </cell>
          <cell r="R309">
            <v>510458</v>
          </cell>
        </row>
        <row r="310">
          <cell r="A310">
            <v>249764</v>
          </cell>
          <cell r="B310" t="str">
            <v>해태 과일촌 아침에사과 1.5L 12개</v>
          </cell>
          <cell r="C310" t="str">
            <v>115210</v>
          </cell>
          <cell r="D310" t="str">
            <v>식품 &gt; 생수/음료/커피 &gt; 음료 &gt; 과일/야채음료</v>
          </cell>
          <cell r="E310" t="str">
            <v>102802</v>
          </cell>
          <cell r="F310" t="str">
            <v>기본카테고리 &gt; 가공식품 &gt; 음료/파우더/시럽 &gt; 탄산음료/기타음료</v>
          </cell>
          <cell r="G310" t="str">
            <v>2023-06-07 17:17:08</v>
          </cell>
          <cell r="H310" t="str">
            <v/>
          </cell>
          <cell r="I310" t="str">
            <v>Y</v>
          </cell>
          <cell r="J310" t="str">
            <v>Y</v>
          </cell>
          <cell r="K310" t="str">
            <v>N</v>
          </cell>
          <cell r="L310" t="str">
            <v>할인율</v>
          </cell>
          <cell r="M310">
            <v>0</v>
          </cell>
          <cell r="N310" t="str">
            <v>Y</v>
          </cell>
          <cell r="O310" t="str">
            <v>해당없음</v>
          </cell>
          <cell r="P310" t="str">
            <v/>
          </cell>
          <cell r="Q310" t="str">
            <v>N</v>
          </cell>
          <cell r="R310">
            <v>510457</v>
          </cell>
        </row>
        <row r="311">
          <cell r="A311">
            <v>249763</v>
          </cell>
          <cell r="B311" t="str">
            <v>환타 업소용 포도 캔 350ml 24개</v>
          </cell>
          <cell r="C311" t="str">
            <v>101045</v>
          </cell>
          <cell r="D311" t="str">
            <v>식품 &gt; 생수/음료/커피 &gt; 음료 &gt; 탄산음료 &gt; 기타탄산음료</v>
          </cell>
          <cell r="E311" t="str">
            <v>102802</v>
          </cell>
          <cell r="F311" t="str">
            <v>기본카테고리 &gt; 가공식품 &gt; 음료/파우더/시럽 &gt; 탄산음료/기타음료</v>
          </cell>
          <cell r="G311" t="str">
            <v>2023-06-07 17:17:08</v>
          </cell>
          <cell r="H311" t="str">
            <v/>
          </cell>
          <cell r="I311" t="str">
            <v>Y</v>
          </cell>
          <cell r="J311" t="str">
            <v>Y</v>
          </cell>
          <cell r="K311" t="str">
            <v>N</v>
          </cell>
          <cell r="L311" t="str">
            <v>할인율</v>
          </cell>
          <cell r="M311">
            <v>0</v>
          </cell>
          <cell r="N311" t="str">
            <v>Y</v>
          </cell>
          <cell r="O311" t="str">
            <v>해당없음</v>
          </cell>
          <cell r="P311" t="str">
            <v/>
          </cell>
          <cell r="Q311" t="str">
            <v>N</v>
          </cell>
          <cell r="R311">
            <v>510456</v>
          </cell>
        </row>
        <row r="312">
          <cell r="A312">
            <v>249762</v>
          </cell>
          <cell r="B312" t="str">
            <v>웅진 자연은 요거풋풋사과 1.5L 12개</v>
          </cell>
          <cell r="C312" t="str">
            <v>115210</v>
          </cell>
          <cell r="D312" t="str">
            <v>식품 &gt; 생수/음료/커피 &gt; 음료 &gt; 과일/야채음료</v>
          </cell>
          <cell r="E312" t="str">
            <v>102802</v>
          </cell>
          <cell r="F312" t="str">
            <v>기본카테고리 &gt; 가공식품 &gt; 음료/파우더/시럽 &gt; 탄산음료/기타음료</v>
          </cell>
          <cell r="G312" t="str">
            <v>2023-06-07 17:17:08</v>
          </cell>
          <cell r="H312" t="str">
            <v/>
          </cell>
          <cell r="I312" t="str">
            <v>Y</v>
          </cell>
          <cell r="J312" t="str">
            <v>Y</v>
          </cell>
          <cell r="K312" t="str">
            <v>N</v>
          </cell>
          <cell r="L312" t="str">
            <v>할인율</v>
          </cell>
          <cell r="M312">
            <v>0</v>
          </cell>
          <cell r="N312" t="str">
            <v>Y</v>
          </cell>
          <cell r="O312" t="str">
            <v>해당없음</v>
          </cell>
          <cell r="P312" t="str">
            <v/>
          </cell>
          <cell r="Q312" t="str">
            <v>N</v>
          </cell>
          <cell r="R312">
            <v>510455</v>
          </cell>
        </row>
        <row r="313">
          <cell r="A313">
            <v>249761</v>
          </cell>
          <cell r="B313" t="str">
            <v>현대제약 미에로화이바 350ml 24개</v>
          </cell>
          <cell r="C313" t="str">
            <v>101028</v>
          </cell>
          <cell r="D313" t="str">
            <v>식품 &gt; 생수/음료/커피 &gt; 음료 &gt; 건강/기능성음료 &gt; 기타건강/기능성음료</v>
          </cell>
          <cell r="E313" t="str">
            <v>102802</v>
          </cell>
          <cell r="F313" t="str">
            <v>기본카테고리 &gt; 가공식품 &gt; 음료/파우더/시럽 &gt; 탄산음료/기타음료</v>
          </cell>
          <cell r="G313" t="str">
            <v>2023-06-07 17:17:08</v>
          </cell>
          <cell r="H313" t="str">
            <v/>
          </cell>
          <cell r="I313" t="str">
            <v>Y</v>
          </cell>
          <cell r="J313" t="str">
            <v>Y</v>
          </cell>
          <cell r="K313" t="str">
            <v>N</v>
          </cell>
          <cell r="L313" t="str">
            <v>할인율</v>
          </cell>
          <cell r="M313">
            <v>0</v>
          </cell>
          <cell r="N313" t="str">
            <v>Y</v>
          </cell>
          <cell r="O313" t="str">
            <v>해당없음</v>
          </cell>
          <cell r="P313" t="str">
            <v/>
          </cell>
          <cell r="Q313" t="str">
            <v>N</v>
          </cell>
          <cell r="R313">
            <v>510454</v>
          </cell>
        </row>
        <row r="314">
          <cell r="A314">
            <v>249760</v>
          </cell>
          <cell r="B314" t="str">
            <v>남양 17차 340ml 20개</v>
          </cell>
          <cell r="C314" t="str">
            <v>101040</v>
          </cell>
          <cell r="D314" t="str">
            <v>식품 &gt; 생수/음료/커피 &gt; 음료 &gt; 전통/차음료 &gt; 기타차음료</v>
          </cell>
          <cell r="E314" t="str">
            <v>102802</v>
          </cell>
          <cell r="F314" t="str">
            <v>기본카테고리 &gt; 가공식품 &gt; 음료/파우더/시럽 &gt; 탄산음료/기타음료</v>
          </cell>
          <cell r="G314" t="str">
            <v>2023-06-07 17:17:08</v>
          </cell>
          <cell r="H314" t="str">
            <v/>
          </cell>
          <cell r="I314" t="str">
            <v>Y</v>
          </cell>
          <cell r="J314" t="str">
            <v>Y</v>
          </cell>
          <cell r="K314" t="str">
            <v>N</v>
          </cell>
          <cell r="L314" t="str">
            <v>할인율</v>
          </cell>
          <cell r="M314">
            <v>0</v>
          </cell>
          <cell r="N314" t="str">
            <v>Y</v>
          </cell>
          <cell r="O314" t="str">
            <v>해당없음</v>
          </cell>
          <cell r="P314" t="str">
            <v/>
          </cell>
          <cell r="Q314" t="str">
            <v>N</v>
          </cell>
          <cell r="R314">
            <v>510453</v>
          </cell>
        </row>
        <row r="315">
          <cell r="A315">
            <v>249759</v>
          </cell>
          <cell r="B315" t="str">
            <v>참맑은 비타엔 캔 175ml 30개</v>
          </cell>
          <cell r="C315" t="str">
            <v>101045</v>
          </cell>
          <cell r="D315" t="str">
            <v>식품 &gt; 생수/음료/커피 &gt; 음료 &gt; 탄산음료 &gt; 기타탄산음료</v>
          </cell>
          <cell r="E315" t="str">
            <v>102802</v>
          </cell>
          <cell r="F315" t="str">
            <v>기본카테고리 &gt; 가공식품 &gt; 음료/파우더/시럽 &gt; 탄산음료/기타음료</v>
          </cell>
          <cell r="G315" t="str">
            <v>2023-06-07 17:17:08</v>
          </cell>
          <cell r="H315" t="str">
            <v/>
          </cell>
          <cell r="I315" t="str">
            <v>Y</v>
          </cell>
          <cell r="J315" t="str">
            <v>Y</v>
          </cell>
          <cell r="K315" t="str">
            <v>N</v>
          </cell>
          <cell r="L315" t="str">
            <v>할인율</v>
          </cell>
          <cell r="M315">
            <v>0</v>
          </cell>
          <cell r="N315" t="str">
            <v>Y</v>
          </cell>
          <cell r="O315" t="str">
            <v>해당없음</v>
          </cell>
          <cell r="P315" t="str">
            <v/>
          </cell>
          <cell r="Q315" t="str">
            <v>N</v>
          </cell>
          <cell r="R315">
            <v>510452</v>
          </cell>
        </row>
        <row r="316">
          <cell r="A316">
            <v>249757</v>
          </cell>
          <cell r="B316" t="str">
            <v>환타 오렌지 1.5L 12개</v>
          </cell>
          <cell r="C316" t="str">
            <v>101045</v>
          </cell>
          <cell r="D316" t="str">
            <v>식품 &gt; 생수/음료/커피 &gt; 음료 &gt; 탄산음료 &gt; 기타탄산음료</v>
          </cell>
          <cell r="E316" t="str">
            <v>102802</v>
          </cell>
          <cell r="F316" t="str">
            <v>기본카테고리 &gt; 가공식품 &gt; 음료/파우더/시럽 &gt; 탄산음료/기타음료</v>
          </cell>
          <cell r="G316" t="str">
            <v>2023-06-07 17:17:08</v>
          </cell>
          <cell r="H316" t="str">
            <v/>
          </cell>
          <cell r="I316" t="str">
            <v>Y</v>
          </cell>
          <cell r="J316" t="str">
            <v>Y</v>
          </cell>
          <cell r="K316" t="str">
            <v>N</v>
          </cell>
          <cell r="L316" t="str">
            <v>할인율</v>
          </cell>
          <cell r="M316">
            <v>0</v>
          </cell>
          <cell r="N316" t="str">
            <v>Y</v>
          </cell>
          <cell r="O316" t="str">
            <v>해당없음</v>
          </cell>
          <cell r="P316" t="str">
            <v/>
          </cell>
          <cell r="Q316" t="str">
            <v>N</v>
          </cell>
          <cell r="R316">
            <v>510450</v>
          </cell>
        </row>
        <row r="317">
          <cell r="A317">
            <v>249756</v>
          </cell>
          <cell r="B317" t="str">
            <v>매일 피크닉 사과맛 200ml 24개</v>
          </cell>
          <cell r="C317" t="str">
            <v>115210</v>
          </cell>
          <cell r="D317" t="str">
            <v>식품 &gt; 생수/음료/커피 &gt; 음료 &gt; 과일/야채음료</v>
          </cell>
          <cell r="E317" t="str">
            <v>102802</v>
          </cell>
          <cell r="F317" t="str">
            <v>기본카테고리 &gt; 가공식품 &gt; 음료/파우더/시럽 &gt; 탄산음료/기타음료</v>
          </cell>
          <cell r="G317" t="str">
            <v>2023-06-07 17:17:08</v>
          </cell>
          <cell r="H317" t="str">
            <v/>
          </cell>
          <cell r="I317" t="str">
            <v>Y</v>
          </cell>
          <cell r="J317" t="str">
            <v>Y</v>
          </cell>
          <cell r="K317" t="str">
            <v>N</v>
          </cell>
          <cell r="L317" t="str">
            <v>할인율</v>
          </cell>
          <cell r="M317">
            <v>0</v>
          </cell>
          <cell r="N317" t="str">
            <v>Y</v>
          </cell>
          <cell r="O317" t="str">
            <v>해당없음</v>
          </cell>
          <cell r="P317" t="str">
            <v/>
          </cell>
          <cell r="Q317" t="str">
            <v>N</v>
          </cell>
          <cell r="R317">
            <v>510449</v>
          </cell>
        </row>
        <row r="318">
          <cell r="A318">
            <v>249755</v>
          </cell>
          <cell r="B318" t="str">
            <v>광동 쌍화골드 100ml 100개</v>
          </cell>
          <cell r="C318" t="str">
            <v>101028</v>
          </cell>
          <cell r="D318" t="str">
            <v>식품 &gt; 생수/음료/커피 &gt; 음료 &gt; 건강/기능성음료 &gt; 기타건강/기능성음료</v>
          </cell>
          <cell r="E318" t="str">
            <v>102802</v>
          </cell>
          <cell r="F318" t="str">
            <v>기본카테고리 &gt; 가공식품 &gt; 음료/파우더/시럽 &gt; 탄산음료/기타음료</v>
          </cell>
          <cell r="G318" t="str">
            <v>2023-06-07 17:17:08</v>
          </cell>
          <cell r="H318" t="str">
            <v/>
          </cell>
          <cell r="I318" t="str">
            <v>Y</v>
          </cell>
          <cell r="J318" t="str">
            <v>Y</v>
          </cell>
          <cell r="K318" t="str">
            <v>N</v>
          </cell>
          <cell r="L318" t="str">
            <v>할인율</v>
          </cell>
          <cell r="M318">
            <v>0</v>
          </cell>
          <cell r="N318" t="str">
            <v>Y</v>
          </cell>
          <cell r="O318" t="str">
            <v>해당없음</v>
          </cell>
          <cell r="P318" t="str">
            <v/>
          </cell>
          <cell r="Q318" t="str">
            <v>N</v>
          </cell>
          <cell r="R318">
            <v>510448</v>
          </cell>
        </row>
        <row r="319">
          <cell r="A319">
            <v>249754</v>
          </cell>
          <cell r="B319" t="str">
            <v>해태 영진구론산 오리지날 150ml 30개</v>
          </cell>
          <cell r="C319" t="str">
            <v>101028</v>
          </cell>
          <cell r="D319" t="str">
            <v>식품 &gt; 생수/음료/커피 &gt; 음료 &gt; 건강/기능성음료 &gt; 기타건강/기능성음료</v>
          </cell>
          <cell r="E319" t="str">
            <v>102802</v>
          </cell>
          <cell r="F319" t="str">
            <v>기본카테고리 &gt; 가공식품 &gt; 음료/파우더/시럽 &gt; 탄산음료/기타음료</v>
          </cell>
          <cell r="G319" t="str">
            <v>2023-06-07 17:17:08</v>
          </cell>
          <cell r="H319" t="str">
            <v/>
          </cell>
          <cell r="I319" t="str">
            <v>Y</v>
          </cell>
          <cell r="J319" t="str">
            <v>Y</v>
          </cell>
          <cell r="K319" t="str">
            <v>N</v>
          </cell>
          <cell r="L319" t="str">
            <v>할인율</v>
          </cell>
          <cell r="M319">
            <v>0</v>
          </cell>
          <cell r="N319" t="str">
            <v>Y</v>
          </cell>
          <cell r="O319" t="str">
            <v>해당없음</v>
          </cell>
          <cell r="P319" t="str">
            <v/>
          </cell>
          <cell r="Q319" t="str">
            <v>N</v>
          </cell>
          <cell r="R319">
            <v>510447</v>
          </cell>
        </row>
        <row r="320">
          <cell r="A320">
            <v>249753</v>
          </cell>
          <cell r="B320" t="str">
            <v>광동 위생천 75ml 100개</v>
          </cell>
          <cell r="C320" t="str">
            <v>101028</v>
          </cell>
          <cell r="D320" t="str">
            <v>식품 &gt; 생수/음료/커피 &gt; 음료 &gt; 건강/기능성음료 &gt; 기타건강/기능성음료</v>
          </cell>
          <cell r="E320" t="str">
            <v>102802</v>
          </cell>
          <cell r="F320" t="str">
            <v>기본카테고리 &gt; 가공식품 &gt; 음료/파우더/시럽 &gt; 탄산음료/기타음료</v>
          </cell>
          <cell r="G320" t="str">
            <v>2023-06-07 17:17:08</v>
          </cell>
          <cell r="H320" t="str">
            <v/>
          </cell>
          <cell r="I320" t="str">
            <v>Y</v>
          </cell>
          <cell r="J320" t="str">
            <v>Y</v>
          </cell>
          <cell r="K320" t="str">
            <v>N</v>
          </cell>
          <cell r="L320" t="str">
            <v>할인율</v>
          </cell>
          <cell r="M320">
            <v>0</v>
          </cell>
          <cell r="N320" t="str">
            <v>Y</v>
          </cell>
          <cell r="O320" t="str">
            <v>해당없음</v>
          </cell>
          <cell r="P320" t="str">
            <v/>
          </cell>
          <cell r="Q320" t="str">
            <v>N</v>
          </cell>
          <cell r="R320">
            <v>510446</v>
          </cell>
        </row>
        <row r="321">
          <cell r="A321">
            <v>249752</v>
          </cell>
          <cell r="B321" t="str">
            <v>참맑은 옥수수 수염차 175ml 30캔</v>
          </cell>
          <cell r="C321" t="str">
            <v>101040</v>
          </cell>
          <cell r="D321" t="str">
            <v>식품 &gt; 생수/음료/커피 &gt; 음료 &gt; 전통/차음료 &gt; 기타차음료</v>
          </cell>
          <cell r="E321" t="str">
            <v>102802</v>
          </cell>
          <cell r="F321" t="str">
            <v>기본카테고리 &gt; 가공식품 &gt; 음료/파우더/시럽 &gt; 탄산음료/기타음료</v>
          </cell>
          <cell r="G321" t="str">
            <v>2023-06-07 17:17:08</v>
          </cell>
          <cell r="H321" t="str">
            <v/>
          </cell>
          <cell r="I321" t="str">
            <v>Y</v>
          </cell>
          <cell r="J321" t="str">
            <v>Y</v>
          </cell>
          <cell r="K321" t="str">
            <v>N</v>
          </cell>
          <cell r="L321" t="str">
            <v>할인율</v>
          </cell>
          <cell r="M321">
            <v>0</v>
          </cell>
          <cell r="N321" t="str">
            <v>Y</v>
          </cell>
          <cell r="O321" t="str">
            <v>해당없음</v>
          </cell>
          <cell r="P321" t="str">
            <v/>
          </cell>
          <cell r="Q321" t="str">
            <v>N</v>
          </cell>
          <cell r="R321">
            <v>510445</v>
          </cell>
        </row>
        <row r="322">
          <cell r="A322">
            <v>249751</v>
          </cell>
          <cell r="B322" t="str">
            <v>웅진 초록매실180ml 30개</v>
          </cell>
          <cell r="C322" t="str">
            <v>115210</v>
          </cell>
          <cell r="D322" t="str">
            <v>식품 &gt; 생수/음료/커피 &gt; 음료 &gt; 과일/야채음료</v>
          </cell>
          <cell r="E322" t="str">
            <v>102802</v>
          </cell>
          <cell r="F322" t="str">
            <v>기본카테고리 &gt; 가공식품 &gt; 음료/파우더/시럽 &gt; 탄산음료/기타음료</v>
          </cell>
          <cell r="G322" t="str">
            <v>2023-06-07 17:17:08</v>
          </cell>
          <cell r="H322" t="str">
            <v/>
          </cell>
          <cell r="I322" t="str">
            <v>Y</v>
          </cell>
          <cell r="J322" t="str">
            <v>Y</v>
          </cell>
          <cell r="K322" t="str">
            <v>N</v>
          </cell>
          <cell r="L322" t="str">
            <v>할인율</v>
          </cell>
          <cell r="M322">
            <v>0</v>
          </cell>
          <cell r="N322" t="str">
            <v>Y</v>
          </cell>
          <cell r="O322" t="str">
            <v>해당없음</v>
          </cell>
          <cell r="P322" t="str">
            <v/>
          </cell>
          <cell r="Q322" t="str">
            <v>N</v>
          </cell>
          <cell r="R322">
            <v>510444</v>
          </cell>
        </row>
        <row r="323">
          <cell r="A323">
            <v>249750</v>
          </cell>
          <cell r="B323" t="str">
            <v>웅진 하늘보리 1.5L 12개</v>
          </cell>
          <cell r="C323" t="str">
            <v>101040</v>
          </cell>
          <cell r="D323" t="str">
            <v>식품 &gt; 생수/음료/커피 &gt; 음료 &gt; 전통/차음료 &gt; 기타차음료</v>
          </cell>
          <cell r="E323" t="str">
            <v>102802</v>
          </cell>
          <cell r="F323" t="str">
            <v>기본카테고리 &gt; 가공식품 &gt; 음료/파우더/시럽 &gt; 탄산음료/기타음료</v>
          </cell>
          <cell r="G323" t="str">
            <v>2023-06-07 17:17:08</v>
          </cell>
          <cell r="H323" t="str">
            <v/>
          </cell>
          <cell r="I323" t="str">
            <v>Y</v>
          </cell>
          <cell r="J323" t="str">
            <v>Y</v>
          </cell>
          <cell r="K323" t="str">
            <v>N</v>
          </cell>
          <cell r="L323" t="str">
            <v>할인율</v>
          </cell>
          <cell r="M323">
            <v>0</v>
          </cell>
          <cell r="N323" t="str">
            <v>Y</v>
          </cell>
          <cell r="O323" t="str">
            <v>해당없음</v>
          </cell>
          <cell r="P323" t="str">
            <v/>
          </cell>
          <cell r="Q323" t="str">
            <v>N</v>
          </cell>
          <cell r="R323">
            <v>510443</v>
          </cell>
        </row>
        <row r="324">
          <cell r="A324">
            <v>249748</v>
          </cell>
          <cell r="B324" t="str">
            <v>웅진 가야 복숭아농장 1.5L 12개</v>
          </cell>
          <cell r="C324" t="str">
            <v>115210</v>
          </cell>
          <cell r="D324" t="str">
            <v>식품 &gt; 생수/음료/커피 &gt; 음료 &gt; 과일/야채음료</v>
          </cell>
          <cell r="E324" t="str">
            <v>102802</v>
          </cell>
          <cell r="F324" t="str">
            <v>기본카테고리 &gt; 가공식품 &gt; 음료/파우더/시럽 &gt; 탄산음료/기타음료</v>
          </cell>
          <cell r="G324" t="str">
            <v>2023-06-07 17:17:08</v>
          </cell>
          <cell r="H324" t="str">
            <v/>
          </cell>
          <cell r="I324" t="str">
            <v>Y</v>
          </cell>
          <cell r="J324" t="str">
            <v>Y</v>
          </cell>
          <cell r="K324" t="str">
            <v>N</v>
          </cell>
          <cell r="L324" t="str">
            <v>할인율</v>
          </cell>
          <cell r="M324">
            <v>0</v>
          </cell>
          <cell r="N324" t="str">
            <v>Y</v>
          </cell>
          <cell r="O324" t="str">
            <v>해당없음</v>
          </cell>
          <cell r="P324" t="str">
            <v/>
          </cell>
          <cell r="Q324" t="str">
            <v>N</v>
          </cell>
          <cell r="R324">
            <v>510441</v>
          </cell>
        </row>
        <row r="325">
          <cell r="A325">
            <v>249745</v>
          </cell>
          <cell r="B325" t="str">
            <v>웅진 가야 사과농장 1.5L 12개</v>
          </cell>
          <cell r="C325" t="str">
            <v>115210</v>
          </cell>
          <cell r="D325" t="str">
            <v>식품 &gt; 생수/음료/커피 &gt; 음료 &gt; 과일/야채음료</v>
          </cell>
          <cell r="E325" t="str">
            <v>102802</v>
          </cell>
          <cell r="F325" t="str">
            <v>기본카테고리 &gt; 가공식품 &gt; 음료/파우더/시럽 &gt; 탄산음료/기타음료</v>
          </cell>
          <cell r="G325" t="str">
            <v>2023-06-07 17:17:08</v>
          </cell>
          <cell r="H325" t="str">
            <v/>
          </cell>
          <cell r="I325" t="str">
            <v>Y</v>
          </cell>
          <cell r="J325" t="str">
            <v>Y</v>
          </cell>
          <cell r="K325" t="str">
            <v>N</v>
          </cell>
          <cell r="L325" t="str">
            <v>할인율</v>
          </cell>
          <cell r="M325">
            <v>0</v>
          </cell>
          <cell r="N325" t="str">
            <v>Y</v>
          </cell>
          <cell r="O325" t="str">
            <v>해당없음</v>
          </cell>
          <cell r="P325" t="str">
            <v/>
          </cell>
          <cell r="Q325" t="str">
            <v>N</v>
          </cell>
          <cell r="R325">
            <v>510438</v>
          </cell>
        </row>
        <row r="326">
          <cell r="A326">
            <v>249744</v>
          </cell>
          <cell r="B326" t="str">
            <v>참맑은 홍차 175ml 30개</v>
          </cell>
          <cell r="C326" t="str">
            <v>101039</v>
          </cell>
          <cell r="D326" t="str">
            <v>식품 &gt; 생수/음료/커피 &gt; 음료 &gt; 전통/차음료 &gt; 홍차/밀크티음료</v>
          </cell>
          <cell r="E326" t="str">
            <v>102802</v>
          </cell>
          <cell r="F326" t="str">
            <v>기본카테고리 &gt; 가공식품 &gt; 음료/파우더/시럽 &gt; 탄산음료/기타음료</v>
          </cell>
          <cell r="G326" t="str">
            <v>2023-06-07 17:17:08</v>
          </cell>
          <cell r="H326" t="str">
            <v/>
          </cell>
          <cell r="I326" t="str">
            <v>Y</v>
          </cell>
          <cell r="J326" t="str">
            <v>Y</v>
          </cell>
          <cell r="K326" t="str">
            <v>N</v>
          </cell>
          <cell r="L326" t="str">
            <v>할인율</v>
          </cell>
          <cell r="M326">
            <v>0</v>
          </cell>
          <cell r="N326" t="str">
            <v>Y</v>
          </cell>
          <cell r="O326" t="str">
            <v>해당없음</v>
          </cell>
          <cell r="P326" t="str">
            <v/>
          </cell>
          <cell r="Q326" t="str">
            <v>N</v>
          </cell>
          <cell r="R326">
            <v>510437</v>
          </cell>
        </row>
        <row r="327">
          <cell r="A327">
            <v>249741</v>
          </cell>
          <cell r="B327" t="str">
            <v>참맑은 헛개차 175ml  30캔</v>
          </cell>
          <cell r="C327" t="str">
            <v>101038</v>
          </cell>
          <cell r="D327" t="str">
            <v>식품 &gt; 생수/음료/커피 &gt; 음료 &gt; 전통/차음료 &gt; 헛개수차음료</v>
          </cell>
          <cell r="E327" t="str">
            <v>102802</v>
          </cell>
          <cell r="F327" t="str">
            <v>기본카테고리 &gt; 가공식품 &gt; 음료/파우더/시럽 &gt; 탄산음료/기타음료</v>
          </cell>
          <cell r="G327" t="str">
            <v>2023-06-07 17:17:08</v>
          </cell>
          <cell r="H327" t="str">
            <v/>
          </cell>
          <cell r="I327" t="str">
            <v>Y</v>
          </cell>
          <cell r="J327" t="str">
            <v>Y</v>
          </cell>
          <cell r="K327" t="str">
            <v>N</v>
          </cell>
          <cell r="L327" t="str">
            <v>할인율</v>
          </cell>
          <cell r="M327">
            <v>0</v>
          </cell>
          <cell r="N327" t="str">
            <v>Y</v>
          </cell>
          <cell r="O327" t="str">
            <v>해당없음</v>
          </cell>
          <cell r="P327" t="str">
            <v/>
          </cell>
          <cell r="Q327" t="str">
            <v>N</v>
          </cell>
          <cell r="R327">
            <v>510434</v>
          </cell>
        </row>
        <row r="328">
          <cell r="A328">
            <v>249739</v>
          </cell>
          <cell r="B328" t="str">
            <v>웅진 광명찾은 결명자차 500ml 20개</v>
          </cell>
          <cell r="C328" t="str">
            <v>101040</v>
          </cell>
          <cell r="D328" t="str">
            <v>식품 &gt; 생수/음료/커피 &gt; 음료 &gt; 전통/차음료 &gt; 기타차음료</v>
          </cell>
          <cell r="E328" t="str">
            <v>102802</v>
          </cell>
          <cell r="F328" t="str">
            <v>기본카테고리 &gt; 가공식품 &gt; 음료/파우더/시럽 &gt; 탄산음료/기타음료</v>
          </cell>
          <cell r="G328" t="str">
            <v>2023-06-07 17:17:08</v>
          </cell>
          <cell r="H328" t="str">
            <v/>
          </cell>
          <cell r="I328" t="str">
            <v>Y</v>
          </cell>
          <cell r="J328" t="str">
            <v>Y</v>
          </cell>
          <cell r="K328" t="str">
            <v>N</v>
          </cell>
          <cell r="L328" t="str">
            <v>할인율</v>
          </cell>
          <cell r="M328">
            <v>0</v>
          </cell>
          <cell r="N328" t="str">
            <v>Y</v>
          </cell>
          <cell r="O328" t="str">
            <v>해당없음</v>
          </cell>
          <cell r="P328" t="str">
            <v/>
          </cell>
          <cell r="Q328" t="str">
            <v>N</v>
          </cell>
          <cell r="R328">
            <v>510432</v>
          </cell>
        </row>
        <row r="329">
          <cell r="A329">
            <v>249736</v>
          </cell>
          <cell r="B329" t="str">
            <v>현대약품 비타업 100ml 100개</v>
          </cell>
          <cell r="C329" t="str">
            <v>101021</v>
          </cell>
          <cell r="D329" t="str">
            <v>식품 &gt; 생수/음료/커피 &gt; 음료 &gt; 건강/기능성음료 &gt; 비타민음료</v>
          </cell>
          <cell r="E329" t="str">
            <v>102802</v>
          </cell>
          <cell r="F329" t="str">
            <v>기본카테고리 &gt; 가공식품 &gt; 음료/파우더/시럽 &gt; 탄산음료/기타음료</v>
          </cell>
          <cell r="G329" t="str">
            <v>2023-06-07 17:17:08</v>
          </cell>
          <cell r="H329" t="str">
            <v/>
          </cell>
          <cell r="I329" t="str">
            <v>Y</v>
          </cell>
          <cell r="J329" t="str">
            <v>Y</v>
          </cell>
          <cell r="K329" t="str">
            <v>N</v>
          </cell>
          <cell r="L329" t="str">
            <v>할인율</v>
          </cell>
          <cell r="M329">
            <v>0</v>
          </cell>
          <cell r="N329" t="str">
            <v>Y</v>
          </cell>
          <cell r="O329" t="str">
            <v>해당없음</v>
          </cell>
          <cell r="P329" t="str">
            <v/>
          </cell>
          <cell r="Q329" t="str">
            <v>N</v>
          </cell>
          <cell r="R329">
            <v>510429</v>
          </cell>
        </row>
        <row r="330">
          <cell r="A330">
            <v>249734</v>
          </cell>
          <cell r="B330" t="str">
            <v>미에로화이바 100ml 100개</v>
          </cell>
          <cell r="C330" t="str">
            <v>101021</v>
          </cell>
          <cell r="D330" t="str">
            <v>식품 &gt; 생수/음료/커피 &gt; 음료 &gt; 건강/기능성음료 &gt; 비타민음료</v>
          </cell>
          <cell r="E330" t="str">
            <v>102802</v>
          </cell>
          <cell r="F330" t="str">
            <v>기본카테고리 &gt; 가공식품 &gt; 음료/파우더/시럽 &gt; 탄산음료/기타음료</v>
          </cell>
          <cell r="G330" t="str">
            <v>2023-06-07 17:17:08</v>
          </cell>
          <cell r="H330" t="str">
            <v/>
          </cell>
          <cell r="I330" t="str">
            <v>Y</v>
          </cell>
          <cell r="J330" t="str">
            <v>Y</v>
          </cell>
          <cell r="K330" t="str">
            <v>N</v>
          </cell>
          <cell r="L330" t="str">
            <v>할인율</v>
          </cell>
          <cell r="M330">
            <v>0</v>
          </cell>
          <cell r="N330" t="str">
            <v>Y</v>
          </cell>
          <cell r="O330" t="str">
            <v>해당없음</v>
          </cell>
          <cell r="P330" t="str">
            <v/>
          </cell>
          <cell r="Q330" t="str">
            <v>N</v>
          </cell>
          <cell r="R330">
            <v>510427</v>
          </cell>
        </row>
        <row r="331">
          <cell r="A331">
            <v>249733</v>
          </cell>
          <cell r="B331" t="str">
            <v>웅진 가야 토마토농장 1.5L 12개</v>
          </cell>
          <cell r="C331" t="str">
            <v>115210</v>
          </cell>
          <cell r="D331" t="str">
            <v>식품 &gt; 생수/음료/커피 &gt; 음료 &gt; 과일/야채음료</v>
          </cell>
          <cell r="E331" t="str">
            <v>102802</v>
          </cell>
          <cell r="F331" t="str">
            <v>기본카테고리 &gt; 가공식품 &gt; 음료/파우더/시럽 &gt; 탄산음료/기타음료</v>
          </cell>
          <cell r="G331" t="str">
            <v>2023-06-07 17:17:08</v>
          </cell>
          <cell r="H331" t="str">
            <v/>
          </cell>
          <cell r="I331" t="str">
            <v>Y</v>
          </cell>
          <cell r="J331" t="str">
            <v>Y</v>
          </cell>
          <cell r="K331" t="str">
            <v>N</v>
          </cell>
          <cell r="L331" t="str">
            <v>할인율</v>
          </cell>
          <cell r="M331">
            <v>0</v>
          </cell>
          <cell r="N331" t="str">
            <v>Y</v>
          </cell>
          <cell r="O331" t="str">
            <v>해당없음</v>
          </cell>
          <cell r="P331" t="str">
            <v/>
          </cell>
          <cell r="Q331" t="str">
            <v>N</v>
          </cell>
          <cell r="R331">
            <v>510426</v>
          </cell>
        </row>
        <row r="332">
          <cell r="A332">
            <v>249732</v>
          </cell>
          <cell r="B332" t="str">
            <v>가야 당근 농장 1.5L 12개</v>
          </cell>
          <cell r="C332" t="str">
            <v>115210</v>
          </cell>
          <cell r="D332" t="str">
            <v>식품 &gt; 생수/음료/커피 &gt; 음료 &gt; 과일/야채음료</v>
          </cell>
          <cell r="E332" t="str">
            <v>102802</v>
          </cell>
          <cell r="F332" t="str">
            <v>기본카테고리 &gt; 가공식품 &gt; 음료/파우더/시럽 &gt; 탄산음료/기타음료</v>
          </cell>
          <cell r="G332" t="str">
            <v>2023-06-07 17:17:08</v>
          </cell>
          <cell r="H332" t="str">
            <v/>
          </cell>
          <cell r="I332" t="str">
            <v>Y</v>
          </cell>
          <cell r="J332" t="str">
            <v>Y</v>
          </cell>
          <cell r="K332" t="str">
            <v>N</v>
          </cell>
          <cell r="L332" t="str">
            <v>할인율</v>
          </cell>
          <cell r="M332">
            <v>0</v>
          </cell>
          <cell r="N332" t="str">
            <v>Y</v>
          </cell>
          <cell r="O332" t="str">
            <v>해당없음</v>
          </cell>
          <cell r="P332" t="str">
            <v/>
          </cell>
          <cell r="Q332" t="str">
            <v>N</v>
          </cell>
          <cell r="R332">
            <v>510425</v>
          </cell>
        </row>
        <row r="333">
          <cell r="A333">
            <v>249730</v>
          </cell>
          <cell r="B333" t="str">
            <v>웅진 자연은 알로에 1.5L 12개</v>
          </cell>
          <cell r="C333" t="str">
            <v>115210</v>
          </cell>
          <cell r="D333" t="str">
            <v>식품 &gt; 생수/음료/커피 &gt; 음료 &gt; 과일/야채음료</v>
          </cell>
          <cell r="E333" t="str">
            <v>102802</v>
          </cell>
          <cell r="F333" t="str">
            <v>기본카테고리 &gt; 가공식품 &gt; 음료/파우더/시럽 &gt; 탄산음료/기타음료</v>
          </cell>
          <cell r="G333" t="str">
            <v>2023-06-07 17:17:08</v>
          </cell>
          <cell r="H333" t="str">
            <v/>
          </cell>
          <cell r="I333" t="str">
            <v>Y</v>
          </cell>
          <cell r="J333" t="str">
            <v>Y</v>
          </cell>
          <cell r="K333" t="str">
            <v>N</v>
          </cell>
          <cell r="L333" t="str">
            <v>할인율</v>
          </cell>
          <cell r="M333">
            <v>0</v>
          </cell>
          <cell r="N333" t="str">
            <v>Y</v>
          </cell>
          <cell r="O333" t="str">
            <v>해당없음</v>
          </cell>
          <cell r="P333" t="str">
            <v/>
          </cell>
          <cell r="Q333" t="str">
            <v>N</v>
          </cell>
          <cell r="R333">
            <v>510423</v>
          </cell>
        </row>
        <row r="334">
          <cell r="A334">
            <v>249729</v>
          </cell>
          <cell r="B334" t="str">
            <v>웅진 자연은 토마토 1.5L 12개</v>
          </cell>
          <cell r="C334" t="str">
            <v>115210</v>
          </cell>
          <cell r="D334" t="str">
            <v>식품 &gt; 생수/음료/커피 &gt; 음료 &gt; 과일/야채음료</v>
          </cell>
          <cell r="E334" t="str">
            <v>102802</v>
          </cell>
          <cell r="F334" t="str">
            <v>기본카테고리 &gt; 가공식품 &gt; 음료/파우더/시럽 &gt; 탄산음료/기타음료</v>
          </cell>
          <cell r="G334" t="str">
            <v>2023-06-07 17:17:08</v>
          </cell>
          <cell r="H334" t="str">
            <v/>
          </cell>
          <cell r="I334" t="str">
            <v>Y</v>
          </cell>
          <cell r="J334" t="str">
            <v>Y</v>
          </cell>
          <cell r="K334" t="str">
            <v>N</v>
          </cell>
          <cell r="L334" t="str">
            <v>할인율</v>
          </cell>
          <cell r="M334">
            <v>0</v>
          </cell>
          <cell r="N334" t="str">
            <v>Y</v>
          </cell>
          <cell r="O334" t="str">
            <v>해당없음</v>
          </cell>
          <cell r="P334" t="str">
            <v/>
          </cell>
          <cell r="Q334" t="str">
            <v>N</v>
          </cell>
          <cell r="R334">
            <v>510422</v>
          </cell>
        </row>
        <row r="335">
          <cell r="A335">
            <v>249728</v>
          </cell>
          <cell r="B335" t="str">
            <v>웅진 자연은 토마토 500ml 20개</v>
          </cell>
          <cell r="C335" t="str">
            <v>115210</v>
          </cell>
          <cell r="D335" t="str">
            <v>식품 &gt; 생수/음료/커피 &gt; 음료 &gt; 과일/야채음료</v>
          </cell>
          <cell r="E335" t="str">
            <v>102802</v>
          </cell>
          <cell r="F335" t="str">
            <v>기본카테고리 &gt; 가공식품 &gt; 음료/파우더/시럽 &gt; 탄산음료/기타음료</v>
          </cell>
          <cell r="G335" t="str">
            <v>2023-06-07 17:17:08</v>
          </cell>
          <cell r="H335" t="str">
            <v/>
          </cell>
          <cell r="I335" t="str">
            <v>Y</v>
          </cell>
          <cell r="J335" t="str">
            <v>Y</v>
          </cell>
          <cell r="K335" t="str">
            <v>N</v>
          </cell>
          <cell r="L335" t="str">
            <v>할인율</v>
          </cell>
          <cell r="M335">
            <v>0</v>
          </cell>
          <cell r="N335" t="str">
            <v>Y</v>
          </cell>
          <cell r="O335" t="str">
            <v>해당없음</v>
          </cell>
          <cell r="P335" t="str">
            <v/>
          </cell>
          <cell r="Q335" t="str">
            <v>N</v>
          </cell>
          <cell r="R335">
            <v>510421</v>
          </cell>
        </row>
        <row r="336">
          <cell r="A336">
            <v>249727</v>
          </cell>
          <cell r="B336" t="str">
            <v>웅진 티즐 제로 유자 그린티 500ml 20개</v>
          </cell>
          <cell r="C336" t="str">
            <v>101040</v>
          </cell>
          <cell r="D336" t="str">
            <v>식품 &gt; 생수/음료/커피 &gt; 음료 &gt; 전통/차음료 &gt; 기타차음료</v>
          </cell>
          <cell r="E336" t="str">
            <v>102802</v>
          </cell>
          <cell r="F336" t="str">
            <v>기본카테고리 &gt; 가공식품 &gt; 음료/파우더/시럽 &gt; 탄산음료/기타음료</v>
          </cell>
          <cell r="G336" t="str">
            <v>2023-06-07 17:17:08</v>
          </cell>
          <cell r="H336" t="str">
            <v/>
          </cell>
          <cell r="I336" t="str">
            <v>Y</v>
          </cell>
          <cell r="J336" t="str">
            <v>Y</v>
          </cell>
          <cell r="K336" t="str">
            <v>N</v>
          </cell>
          <cell r="L336" t="str">
            <v>할인율</v>
          </cell>
          <cell r="M336">
            <v>0</v>
          </cell>
          <cell r="N336" t="str">
            <v>Y</v>
          </cell>
          <cell r="O336" t="str">
            <v>해당없음</v>
          </cell>
          <cell r="P336" t="str">
            <v/>
          </cell>
          <cell r="Q336" t="str">
            <v>N</v>
          </cell>
          <cell r="R336">
            <v>510420</v>
          </cell>
        </row>
        <row r="337">
          <cell r="A337">
            <v>249726</v>
          </cell>
          <cell r="B337" t="str">
            <v>웅진 티즐 제로 피치우롱티 500ml 20개</v>
          </cell>
          <cell r="C337" t="str">
            <v>101040</v>
          </cell>
          <cell r="D337" t="str">
            <v>식품 &gt; 생수/음료/커피 &gt; 음료 &gt; 전통/차음료 &gt; 기타차음료</v>
          </cell>
          <cell r="E337" t="str">
            <v>102802</v>
          </cell>
          <cell r="F337" t="str">
            <v>기본카테고리 &gt; 가공식품 &gt; 음료/파우더/시럽 &gt; 탄산음료/기타음료</v>
          </cell>
          <cell r="G337" t="str">
            <v>2023-06-07 17:17:08</v>
          </cell>
          <cell r="H337" t="str">
            <v/>
          </cell>
          <cell r="I337" t="str">
            <v>Y</v>
          </cell>
          <cell r="J337" t="str">
            <v>Y</v>
          </cell>
          <cell r="K337" t="str">
            <v>N</v>
          </cell>
          <cell r="L337" t="str">
            <v>할인율</v>
          </cell>
          <cell r="M337">
            <v>0</v>
          </cell>
          <cell r="N337" t="str">
            <v>Y</v>
          </cell>
          <cell r="O337" t="str">
            <v>해당없음</v>
          </cell>
          <cell r="P337" t="str">
            <v/>
          </cell>
          <cell r="Q337" t="str">
            <v>N</v>
          </cell>
          <cell r="R337">
            <v>510419</v>
          </cell>
        </row>
        <row r="338">
          <cell r="A338">
            <v>249725</v>
          </cell>
          <cell r="B338" t="str">
            <v>웅진 티즐 제로 자몽블랙티 500ml 20개</v>
          </cell>
          <cell r="C338" t="str">
            <v>101040</v>
          </cell>
          <cell r="D338" t="str">
            <v>식품 &gt; 생수/음료/커피 &gt; 음료 &gt; 전통/차음료 &gt; 기타차음료</v>
          </cell>
          <cell r="E338" t="str">
            <v>102802</v>
          </cell>
          <cell r="F338" t="str">
            <v>기본카테고리 &gt; 가공식품 &gt; 음료/파우더/시럽 &gt; 탄산음료/기타음료</v>
          </cell>
          <cell r="G338" t="str">
            <v>2023-06-07 17:17:08</v>
          </cell>
          <cell r="H338" t="str">
            <v/>
          </cell>
          <cell r="I338" t="str">
            <v>Y</v>
          </cell>
          <cell r="J338" t="str">
            <v>Y</v>
          </cell>
          <cell r="K338" t="str">
            <v>N</v>
          </cell>
          <cell r="L338" t="str">
            <v>할인율</v>
          </cell>
          <cell r="M338">
            <v>0</v>
          </cell>
          <cell r="N338" t="str">
            <v>Y</v>
          </cell>
          <cell r="O338" t="str">
            <v>해당없음</v>
          </cell>
          <cell r="P338" t="str">
            <v/>
          </cell>
          <cell r="Q338" t="str">
            <v>N</v>
          </cell>
          <cell r="R338">
            <v>510418</v>
          </cell>
        </row>
        <row r="339">
          <cell r="A339">
            <v>249724</v>
          </cell>
          <cell r="B339" t="str">
            <v>웅진 티즐 제로 피치얼그레이  500ml 20개</v>
          </cell>
          <cell r="C339" t="str">
            <v>101040</v>
          </cell>
          <cell r="D339" t="str">
            <v>식품 &gt; 생수/음료/커피 &gt; 음료 &gt; 전통/차음료 &gt; 기타차음료</v>
          </cell>
          <cell r="E339" t="str">
            <v>102802</v>
          </cell>
          <cell r="F339" t="str">
            <v>기본카테고리 &gt; 가공식품 &gt; 음료/파우더/시럽 &gt; 탄산음료/기타음료</v>
          </cell>
          <cell r="G339" t="str">
            <v>2023-06-07 17:17:08</v>
          </cell>
          <cell r="H339" t="str">
            <v/>
          </cell>
          <cell r="I339" t="str">
            <v>Y</v>
          </cell>
          <cell r="J339" t="str">
            <v>Y</v>
          </cell>
          <cell r="K339" t="str">
            <v>N</v>
          </cell>
          <cell r="L339" t="str">
            <v>할인율</v>
          </cell>
          <cell r="M339">
            <v>0</v>
          </cell>
          <cell r="N339" t="str">
            <v>Y</v>
          </cell>
          <cell r="O339" t="str">
            <v>해당없음</v>
          </cell>
          <cell r="P339" t="str">
            <v/>
          </cell>
          <cell r="Q339" t="str">
            <v>N</v>
          </cell>
          <cell r="R339">
            <v>510417</v>
          </cell>
        </row>
        <row r="340">
          <cell r="A340">
            <v>249723</v>
          </cell>
          <cell r="B340" t="str">
            <v>웅진 티즐 제로 라임민트티 500ml 20개</v>
          </cell>
          <cell r="C340" t="str">
            <v>101040</v>
          </cell>
          <cell r="D340" t="str">
            <v>식품 &gt; 생수/음료/커피 &gt; 음료 &gt; 전통/차음료 &gt; 기타차음료</v>
          </cell>
          <cell r="E340" t="str">
            <v>102802</v>
          </cell>
          <cell r="F340" t="str">
            <v>기본카테고리 &gt; 가공식품 &gt; 음료/파우더/시럽 &gt; 탄산음료/기타음료</v>
          </cell>
          <cell r="G340" t="str">
            <v>2023-06-07 17:17:08</v>
          </cell>
          <cell r="H340" t="str">
            <v/>
          </cell>
          <cell r="I340" t="str">
            <v>Y</v>
          </cell>
          <cell r="J340" t="str">
            <v>Y</v>
          </cell>
          <cell r="K340" t="str">
            <v>N</v>
          </cell>
          <cell r="L340" t="str">
            <v>할인율</v>
          </cell>
          <cell r="M340">
            <v>0</v>
          </cell>
          <cell r="N340" t="str">
            <v>Y</v>
          </cell>
          <cell r="O340" t="str">
            <v>해당없음</v>
          </cell>
          <cell r="P340" t="str">
            <v/>
          </cell>
          <cell r="Q340" t="str">
            <v>N</v>
          </cell>
          <cell r="R340">
            <v>510416</v>
          </cell>
        </row>
        <row r="341">
          <cell r="A341">
            <v>249722</v>
          </cell>
          <cell r="B341" t="str">
            <v>웅진 헛개차 1.5L 12펫</v>
          </cell>
          <cell r="C341" t="str">
            <v>101040</v>
          </cell>
          <cell r="D341" t="str">
            <v>식품 &gt; 생수/음료/커피 &gt; 음료 &gt; 전통/차음료 &gt; 기타차음료</v>
          </cell>
          <cell r="E341" t="str">
            <v>102802</v>
          </cell>
          <cell r="F341" t="str">
            <v>기본카테고리 &gt; 가공식품 &gt; 음료/파우더/시럽 &gt; 탄산음료/기타음료</v>
          </cell>
          <cell r="G341" t="str">
            <v>2023-06-07 17:17:08</v>
          </cell>
          <cell r="H341" t="str">
            <v/>
          </cell>
          <cell r="I341" t="str">
            <v>Y</v>
          </cell>
          <cell r="J341" t="str">
            <v>Y</v>
          </cell>
          <cell r="K341" t="str">
            <v>N</v>
          </cell>
          <cell r="L341" t="str">
            <v>할인율</v>
          </cell>
          <cell r="M341">
            <v>0</v>
          </cell>
          <cell r="N341" t="str">
            <v>Y</v>
          </cell>
          <cell r="O341" t="str">
            <v>해당없음</v>
          </cell>
          <cell r="P341" t="str">
            <v/>
          </cell>
          <cell r="Q341" t="str">
            <v>N</v>
          </cell>
          <cell r="R341">
            <v>510415</v>
          </cell>
        </row>
        <row r="342">
          <cell r="A342">
            <v>249721</v>
          </cell>
          <cell r="B342" t="str">
            <v>웅진 옥수수수염차 1.5L 12개</v>
          </cell>
          <cell r="C342" t="str">
            <v>101040</v>
          </cell>
          <cell r="D342" t="str">
            <v>식품 &gt; 생수/음료/커피 &gt; 음료 &gt; 전통/차음료 &gt; 기타차음료</v>
          </cell>
          <cell r="E342" t="str">
            <v>102802</v>
          </cell>
          <cell r="F342" t="str">
            <v>기본카테고리 &gt; 가공식품 &gt; 음료/파우더/시럽 &gt; 탄산음료/기타음료</v>
          </cell>
          <cell r="G342" t="str">
            <v>2023-06-07 17:17:08</v>
          </cell>
          <cell r="H342" t="str">
            <v/>
          </cell>
          <cell r="I342" t="str">
            <v>Y</v>
          </cell>
          <cell r="J342" t="str">
            <v>Y</v>
          </cell>
          <cell r="K342" t="str">
            <v>N</v>
          </cell>
          <cell r="L342" t="str">
            <v>할인율</v>
          </cell>
          <cell r="M342">
            <v>0</v>
          </cell>
          <cell r="N342" t="str">
            <v>Y</v>
          </cell>
          <cell r="O342" t="str">
            <v>해당없음</v>
          </cell>
          <cell r="P342" t="str">
            <v/>
          </cell>
          <cell r="Q342" t="str">
            <v>N</v>
          </cell>
          <cell r="R342">
            <v>510414</v>
          </cell>
        </row>
        <row r="343">
          <cell r="A343">
            <v>249720</v>
          </cell>
          <cell r="B343" t="str">
            <v>웅진 결명자차 1.5L 12개</v>
          </cell>
          <cell r="C343" t="str">
            <v>101040</v>
          </cell>
          <cell r="D343" t="str">
            <v>식품 &gt; 생수/음료/커피 &gt; 음료 &gt; 전통/차음료 &gt; 기타차음료</v>
          </cell>
          <cell r="E343" t="str">
            <v>102802</v>
          </cell>
          <cell r="F343" t="str">
            <v>기본카테고리 &gt; 가공식품 &gt; 음료/파우더/시럽 &gt; 탄산음료/기타음료</v>
          </cell>
          <cell r="G343" t="str">
            <v>2023-06-07 17:17:08</v>
          </cell>
          <cell r="H343" t="str">
            <v/>
          </cell>
          <cell r="I343" t="str">
            <v>Y</v>
          </cell>
          <cell r="J343" t="str">
            <v>Y</v>
          </cell>
          <cell r="K343" t="str">
            <v>N</v>
          </cell>
          <cell r="L343" t="str">
            <v>할인율</v>
          </cell>
          <cell r="M343">
            <v>0</v>
          </cell>
          <cell r="N343" t="str">
            <v>Y</v>
          </cell>
          <cell r="O343" t="str">
            <v>해당없음</v>
          </cell>
          <cell r="P343" t="str">
            <v/>
          </cell>
          <cell r="Q343" t="str">
            <v>N</v>
          </cell>
          <cell r="R343">
            <v>510413</v>
          </cell>
        </row>
        <row r="344">
          <cell r="A344">
            <v>249719</v>
          </cell>
          <cell r="B344" t="str">
            <v>웅진 자연은 고칼슘오렌지1.5L 12개</v>
          </cell>
          <cell r="C344" t="str">
            <v>115210</v>
          </cell>
          <cell r="D344" t="str">
            <v>식품 &gt; 생수/음료/커피 &gt; 음료 &gt; 과일/야채음료</v>
          </cell>
          <cell r="E344" t="str">
            <v>102802</v>
          </cell>
          <cell r="F344" t="str">
            <v>기본카테고리 &gt; 가공식품 &gt; 음료/파우더/시럽 &gt; 탄산음료/기타음료</v>
          </cell>
          <cell r="G344" t="str">
            <v>2023-06-07 17:17:08</v>
          </cell>
          <cell r="H344" t="str">
            <v/>
          </cell>
          <cell r="I344" t="str">
            <v>Y</v>
          </cell>
          <cell r="J344" t="str">
            <v>Y</v>
          </cell>
          <cell r="K344" t="str">
            <v>N</v>
          </cell>
          <cell r="L344" t="str">
            <v>할인율</v>
          </cell>
          <cell r="M344">
            <v>0</v>
          </cell>
          <cell r="N344" t="str">
            <v>Y</v>
          </cell>
          <cell r="O344" t="str">
            <v>해당없음</v>
          </cell>
          <cell r="P344" t="str">
            <v/>
          </cell>
          <cell r="Q344" t="str">
            <v>N</v>
          </cell>
          <cell r="R344">
            <v>510412</v>
          </cell>
        </row>
        <row r="345">
          <cell r="A345">
            <v>249718</v>
          </cell>
          <cell r="B345" t="str">
            <v>현대 헬씨 올리고 100ml 100병</v>
          </cell>
          <cell r="C345" t="str">
            <v>101021</v>
          </cell>
          <cell r="D345" t="str">
            <v>식품 &gt; 생수/음료/커피 &gt; 음료 &gt; 건강/기능성음료 &gt; 비타민음료</v>
          </cell>
          <cell r="E345" t="str">
            <v>102802</v>
          </cell>
          <cell r="F345" t="str">
            <v>기본카테고리 &gt; 가공식품 &gt; 음료/파우더/시럽 &gt; 탄산음료/기타음료</v>
          </cell>
          <cell r="G345" t="str">
            <v>2023-06-07 17:17:08</v>
          </cell>
          <cell r="H345" t="str">
            <v/>
          </cell>
          <cell r="I345" t="str">
            <v>Y</v>
          </cell>
          <cell r="J345" t="str">
            <v>Y</v>
          </cell>
          <cell r="K345" t="str">
            <v>N</v>
          </cell>
          <cell r="L345" t="str">
            <v>할인율</v>
          </cell>
          <cell r="M345">
            <v>0</v>
          </cell>
          <cell r="N345" t="str">
            <v>Y</v>
          </cell>
          <cell r="O345" t="str">
            <v>해당없음</v>
          </cell>
          <cell r="P345" t="str">
            <v/>
          </cell>
          <cell r="Q345" t="str">
            <v>N</v>
          </cell>
          <cell r="R345">
            <v>510411</v>
          </cell>
        </row>
        <row r="346">
          <cell r="A346">
            <v>249716</v>
          </cell>
          <cell r="B346" t="str">
            <v>동화 까스활 75ml 120개</v>
          </cell>
          <cell r="C346" t="str">
            <v>101028</v>
          </cell>
          <cell r="D346" t="str">
            <v>식품 &gt; 생수/음료/커피 &gt; 음료 &gt; 건강/기능성음료 &gt; 기타건강/기능성음료</v>
          </cell>
          <cell r="E346" t="str">
            <v>102802</v>
          </cell>
          <cell r="F346" t="str">
            <v>기본카테고리 &gt; 가공식품 &gt; 음료/파우더/시럽 &gt; 탄산음료/기타음료</v>
          </cell>
          <cell r="G346" t="str">
            <v>2023-06-07 17:17:08</v>
          </cell>
          <cell r="H346" t="str">
            <v/>
          </cell>
          <cell r="I346" t="str">
            <v>Y</v>
          </cell>
          <cell r="J346" t="str">
            <v>Y</v>
          </cell>
          <cell r="K346" t="str">
            <v>N</v>
          </cell>
          <cell r="L346" t="str">
            <v>할인율</v>
          </cell>
          <cell r="M346">
            <v>0</v>
          </cell>
          <cell r="N346" t="str">
            <v>Y</v>
          </cell>
          <cell r="O346" t="str">
            <v>해당없음</v>
          </cell>
          <cell r="P346" t="str">
            <v/>
          </cell>
          <cell r="Q346" t="str">
            <v>N</v>
          </cell>
          <cell r="R346">
            <v>510409</v>
          </cell>
        </row>
        <row r="347">
          <cell r="A347">
            <v>249712</v>
          </cell>
          <cell r="B347" t="str">
            <v>농심 프링글스 치즈 110g 12개</v>
          </cell>
          <cell r="C347" t="str">
            <v>101307</v>
          </cell>
          <cell r="D347" t="str">
            <v>식품 &gt; 과자/디저트/아이스크림 &gt; 과자/시리얼 &gt; 스낵 &gt; 기타일반과자</v>
          </cell>
          <cell r="E347" t="str">
            <v>102808</v>
          </cell>
          <cell r="F347" t="str">
            <v>기본카테고리 &gt; 가공식품 &gt; 디저트/베이커리 &gt; 디저트/스낵</v>
          </cell>
          <cell r="G347" t="str">
            <v>2023-06-07 17:17:08</v>
          </cell>
          <cell r="H347" t="str">
            <v/>
          </cell>
          <cell r="I347" t="str">
            <v>Y</v>
          </cell>
          <cell r="J347" t="str">
            <v>Y</v>
          </cell>
          <cell r="K347" t="str">
            <v>N</v>
          </cell>
          <cell r="L347" t="str">
            <v>할인율</v>
          </cell>
          <cell r="M347">
            <v>0</v>
          </cell>
          <cell r="N347" t="str">
            <v>Y</v>
          </cell>
          <cell r="O347" t="str">
            <v>해당없음</v>
          </cell>
          <cell r="P347" t="str">
            <v/>
          </cell>
          <cell r="Q347" t="str">
            <v>N</v>
          </cell>
          <cell r="R347">
            <v>510405</v>
          </cell>
        </row>
        <row r="348">
          <cell r="A348">
            <v>249711</v>
          </cell>
          <cell r="B348" t="str">
            <v>농심 프링글스 오리지날 110g 12개</v>
          </cell>
          <cell r="C348" t="str">
            <v>101307</v>
          </cell>
          <cell r="D348" t="str">
            <v>식품 &gt; 과자/디저트/아이스크림 &gt; 과자/시리얼 &gt; 스낵 &gt; 기타일반과자</v>
          </cell>
          <cell r="E348" t="str">
            <v>102808</v>
          </cell>
          <cell r="F348" t="str">
            <v>기본카테고리 &gt; 가공식품 &gt; 디저트/베이커리 &gt; 디저트/스낵</v>
          </cell>
          <cell r="G348" t="str">
            <v>2023-06-07 17:17:08</v>
          </cell>
          <cell r="H348" t="str">
            <v/>
          </cell>
          <cell r="I348" t="str">
            <v>Y</v>
          </cell>
          <cell r="J348" t="str">
            <v>Y</v>
          </cell>
          <cell r="K348" t="str">
            <v>N</v>
          </cell>
          <cell r="L348" t="str">
            <v>할인율</v>
          </cell>
          <cell r="M348">
            <v>0</v>
          </cell>
          <cell r="N348" t="str">
            <v>Y</v>
          </cell>
          <cell r="O348" t="str">
            <v>해당없음</v>
          </cell>
          <cell r="P348" t="str">
            <v/>
          </cell>
          <cell r="Q348" t="str">
            <v>N</v>
          </cell>
          <cell r="R348">
            <v>510404</v>
          </cell>
        </row>
        <row r="349">
          <cell r="A349">
            <v>249709</v>
          </cell>
          <cell r="B349" t="str">
            <v>농심 프링글스 핫 앤 스파이시 110g 12개</v>
          </cell>
          <cell r="C349" t="str">
            <v>101307</v>
          </cell>
          <cell r="D349" t="str">
            <v>식품 &gt; 과자/디저트/아이스크림 &gt; 과자/시리얼 &gt; 스낵 &gt; 기타일반과자</v>
          </cell>
          <cell r="E349" t="str">
            <v>102808</v>
          </cell>
          <cell r="F349" t="str">
            <v>기본카테고리 &gt; 가공식품 &gt; 디저트/베이커리 &gt; 디저트/스낵</v>
          </cell>
          <cell r="G349" t="str">
            <v>2023-06-07 17:17:08</v>
          </cell>
          <cell r="H349" t="str">
            <v/>
          </cell>
          <cell r="I349" t="str">
            <v>Y</v>
          </cell>
          <cell r="J349" t="str">
            <v>Y</v>
          </cell>
          <cell r="K349" t="str">
            <v>N</v>
          </cell>
          <cell r="L349" t="str">
            <v>할인율</v>
          </cell>
          <cell r="M349">
            <v>0</v>
          </cell>
          <cell r="N349" t="str">
            <v>Y</v>
          </cell>
          <cell r="O349" t="str">
            <v>해당없음</v>
          </cell>
          <cell r="P349" t="str">
            <v/>
          </cell>
          <cell r="Q349" t="str">
            <v>N</v>
          </cell>
          <cell r="R349">
            <v>510402</v>
          </cell>
        </row>
        <row r="350">
          <cell r="A350">
            <v>249708</v>
          </cell>
          <cell r="B350" t="str">
            <v>동원 친친오리지널 치즈 소시지 80g 10개</v>
          </cell>
          <cell r="C350" t="str">
            <v>115206</v>
          </cell>
          <cell r="D350" t="str">
            <v>식품 &gt; 냉장/냉동가공식품 &gt; 햄/소시지/어묵/맛살 &gt; 소시지</v>
          </cell>
          <cell r="E350" t="str">
            <v>111991</v>
          </cell>
          <cell r="F350" t="str">
            <v>기본카테고리 &gt; 가공식품 &gt; 소시지/두부/어묵 &gt; 햄/소시지</v>
          </cell>
          <cell r="G350" t="str">
            <v>2023-06-07 17:17:08</v>
          </cell>
          <cell r="H350" t="str">
            <v/>
          </cell>
          <cell r="I350" t="str">
            <v>Y</v>
          </cell>
          <cell r="J350" t="str">
            <v>Y</v>
          </cell>
          <cell r="K350" t="str">
            <v>N</v>
          </cell>
          <cell r="L350" t="str">
            <v>할인율</v>
          </cell>
          <cell r="M350">
            <v>0</v>
          </cell>
          <cell r="N350" t="str">
            <v>Y</v>
          </cell>
          <cell r="O350" t="str">
            <v>해당없음</v>
          </cell>
          <cell r="P350" t="str">
            <v/>
          </cell>
          <cell r="Q350" t="str">
            <v>N</v>
          </cell>
          <cell r="R350">
            <v>510401</v>
          </cell>
        </row>
        <row r="351">
          <cell r="A351">
            <v>249702</v>
          </cell>
          <cell r="B351" t="str">
            <v>백설 갈색설탕 3kg 6개</v>
          </cell>
          <cell r="C351" t="str">
            <v>100851</v>
          </cell>
          <cell r="D351" t="str">
            <v>식품 &gt; 양념/소스/오일 &gt; 조미료/향신료 &gt; 설탕/물엿/올리고당 &gt; 갈색설탕</v>
          </cell>
          <cell r="E351" t="str">
            <v>102816</v>
          </cell>
          <cell r="F351" t="str">
            <v>기본카테고리 &gt; 가공식품 &gt; 식용유/조미료/장류 &gt; 설탕/물엿/올리고당</v>
          </cell>
          <cell r="G351" t="str">
            <v>2023-06-07 17:17:08</v>
          </cell>
          <cell r="H351" t="str">
            <v/>
          </cell>
          <cell r="I351" t="str">
            <v>Y</v>
          </cell>
          <cell r="J351" t="str">
            <v>Y</v>
          </cell>
          <cell r="K351" t="str">
            <v>N</v>
          </cell>
          <cell r="L351" t="str">
            <v>할인율</v>
          </cell>
          <cell r="M351">
            <v>0</v>
          </cell>
          <cell r="N351" t="str">
            <v>Y</v>
          </cell>
          <cell r="O351" t="str">
            <v>해당없음</v>
          </cell>
          <cell r="P351" t="str">
            <v/>
          </cell>
          <cell r="Q351" t="str">
            <v>N</v>
          </cell>
          <cell r="R351">
            <v>510395</v>
          </cell>
        </row>
        <row r="352">
          <cell r="A352">
            <v>249701</v>
          </cell>
          <cell r="B352" t="str">
            <v>백설 요리 올리고당1.2kg 9개</v>
          </cell>
          <cell r="C352" t="str">
            <v>100856</v>
          </cell>
          <cell r="D352" t="str">
            <v>식품 &gt; 양념/소스/오일 &gt; 조미료/향신료 &gt; 설탕/물엿/올리고당 &gt; 올리고당</v>
          </cell>
          <cell r="E352" t="str">
            <v>102816</v>
          </cell>
          <cell r="F352" t="str">
            <v>기본카테고리 &gt; 가공식품 &gt; 식용유/조미료/장류 &gt; 설탕/물엿/올리고당</v>
          </cell>
          <cell r="G352" t="str">
            <v>2023-06-07 17:17:08</v>
          </cell>
          <cell r="H352" t="str">
            <v/>
          </cell>
          <cell r="I352" t="str">
            <v>Y</v>
          </cell>
          <cell r="J352" t="str">
            <v>Y</v>
          </cell>
          <cell r="K352" t="str">
            <v>N</v>
          </cell>
          <cell r="L352" t="str">
            <v>할인율</v>
          </cell>
          <cell r="M352">
            <v>0</v>
          </cell>
          <cell r="N352" t="str">
            <v>Y</v>
          </cell>
          <cell r="O352" t="str">
            <v>해당없음</v>
          </cell>
          <cell r="P352" t="str">
            <v/>
          </cell>
          <cell r="Q352" t="str">
            <v>N</v>
          </cell>
          <cell r="R352">
            <v>510394</v>
          </cell>
        </row>
        <row r="353">
          <cell r="A353">
            <v>249695</v>
          </cell>
          <cell r="B353" t="str">
            <v>백설 포도씨유 900ml 12개</v>
          </cell>
          <cell r="C353" t="str">
            <v>100953</v>
          </cell>
          <cell r="D353" t="str">
            <v>식품 &gt; 양념/소스/오일 &gt; 식용유/오일/참기름 &gt; 기타식용유/오일</v>
          </cell>
          <cell r="E353" t="str">
            <v>111981</v>
          </cell>
          <cell r="F353" t="str">
            <v>기본카테고리 &gt; 가공식품 &gt; 식용유/조미료/장류 &gt; 식용유</v>
          </cell>
          <cell r="G353" t="str">
            <v>2023-06-07 17:17:08</v>
          </cell>
          <cell r="H353" t="str">
            <v/>
          </cell>
          <cell r="I353" t="str">
            <v>Y</v>
          </cell>
          <cell r="J353" t="str">
            <v>Y</v>
          </cell>
          <cell r="K353" t="str">
            <v>N</v>
          </cell>
          <cell r="L353" t="str">
            <v>할인율</v>
          </cell>
          <cell r="M353">
            <v>0</v>
          </cell>
          <cell r="N353" t="str">
            <v>Y</v>
          </cell>
          <cell r="O353" t="str">
            <v>해당없음</v>
          </cell>
          <cell r="P353" t="str">
            <v/>
          </cell>
          <cell r="Q353" t="str">
            <v>N</v>
          </cell>
          <cell r="R353">
            <v>510388</v>
          </cell>
        </row>
        <row r="354">
          <cell r="A354">
            <v>249694</v>
          </cell>
          <cell r="B354" t="str">
            <v>유동 뚝배기 번데기탕(얼큰한 맛) 280g 24개</v>
          </cell>
          <cell r="C354" t="str">
            <v>100570</v>
          </cell>
          <cell r="D354" t="str">
            <v>식품 &gt; 상온가공식품 &gt; 캔/통조림 &gt; 번데기통조림</v>
          </cell>
          <cell r="E354" t="str">
            <v>102848</v>
          </cell>
          <cell r="F354" t="str">
            <v>기본카테고리 &gt; 가공식품 &gt; 캔/통조림 &gt; 고등어/꽁치/골뱅이/번데기</v>
          </cell>
          <cell r="G354" t="str">
            <v>2023-06-07 17:17:08</v>
          </cell>
          <cell r="H354" t="str">
            <v/>
          </cell>
          <cell r="I354" t="str">
            <v>Y</v>
          </cell>
          <cell r="J354" t="str">
            <v>Y</v>
          </cell>
          <cell r="K354" t="str">
            <v>N</v>
          </cell>
          <cell r="L354" t="str">
            <v>할인율</v>
          </cell>
          <cell r="M354">
            <v>0</v>
          </cell>
          <cell r="N354" t="str">
            <v>Y</v>
          </cell>
          <cell r="O354" t="str">
            <v>해당없음</v>
          </cell>
          <cell r="P354" t="str">
            <v/>
          </cell>
          <cell r="Q354" t="str">
            <v>N</v>
          </cell>
          <cell r="R354">
            <v>510387</v>
          </cell>
        </row>
        <row r="355">
          <cell r="A355">
            <v>249693</v>
          </cell>
          <cell r="B355" t="str">
            <v>펭귄 꽁치(한마리) 400g 24개</v>
          </cell>
          <cell r="C355" t="str">
            <v>100566</v>
          </cell>
          <cell r="D355" t="str">
            <v>식품 &gt; 상온가공식품 &gt; 캔/통조림 &gt; 꽁치통조림</v>
          </cell>
          <cell r="E355" t="str">
            <v>102848</v>
          </cell>
          <cell r="F355" t="str">
            <v>기본카테고리 &gt; 가공식품 &gt; 캔/통조림 &gt; 고등어/꽁치/골뱅이/번데기</v>
          </cell>
          <cell r="G355" t="str">
            <v>2023-06-07 17:17:08</v>
          </cell>
          <cell r="H355" t="str">
            <v/>
          </cell>
          <cell r="I355" t="str">
            <v>Y</v>
          </cell>
          <cell r="J355" t="str">
            <v>Y</v>
          </cell>
          <cell r="K355" t="str">
            <v>N</v>
          </cell>
          <cell r="L355" t="str">
            <v>할인율</v>
          </cell>
          <cell r="M355">
            <v>0</v>
          </cell>
          <cell r="N355" t="str">
            <v>Y</v>
          </cell>
          <cell r="O355" t="str">
            <v>해당없음</v>
          </cell>
          <cell r="P355" t="str">
            <v/>
          </cell>
          <cell r="Q355" t="str">
            <v>N</v>
          </cell>
          <cell r="R355">
            <v>510386</v>
          </cell>
        </row>
        <row r="356">
          <cell r="A356">
            <v>249692</v>
          </cell>
          <cell r="B356" t="str">
            <v>유동 번데기 130g 48개</v>
          </cell>
          <cell r="C356" t="str">
            <v>100570</v>
          </cell>
          <cell r="D356" t="str">
            <v>식품 &gt; 상온가공식품 &gt; 캔/통조림 &gt; 번데기통조림</v>
          </cell>
          <cell r="E356" t="str">
            <v>102848</v>
          </cell>
          <cell r="F356" t="str">
            <v>기본카테고리 &gt; 가공식품 &gt; 캔/통조림 &gt; 고등어/꽁치/골뱅이/번데기</v>
          </cell>
          <cell r="G356" t="str">
            <v>2023-06-07 17:17:08</v>
          </cell>
          <cell r="H356" t="str">
            <v/>
          </cell>
          <cell r="I356" t="str">
            <v>Y</v>
          </cell>
          <cell r="J356" t="str">
            <v>Y</v>
          </cell>
          <cell r="K356" t="str">
            <v>N</v>
          </cell>
          <cell r="L356" t="str">
            <v>할인율</v>
          </cell>
          <cell r="M356">
            <v>0</v>
          </cell>
          <cell r="N356" t="str">
            <v>Y</v>
          </cell>
          <cell r="O356" t="str">
            <v>해당없음</v>
          </cell>
          <cell r="P356" t="str">
            <v/>
          </cell>
          <cell r="Q356" t="str">
            <v>N</v>
          </cell>
          <cell r="R356">
            <v>510385</v>
          </cell>
        </row>
        <row r="357">
          <cell r="A357">
            <v>249691</v>
          </cell>
          <cell r="B357" t="str">
            <v>펭귄 고등어 통조림 400g 24개</v>
          </cell>
          <cell r="C357" t="str">
            <v>100565</v>
          </cell>
          <cell r="D357" t="str">
            <v>식품 &gt; 상온가공식품 &gt; 캔/통조림 &gt; 고등어통조림</v>
          </cell>
          <cell r="E357" t="str">
            <v>102848</v>
          </cell>
          <cell r="F357" t="str">
            <v>기본카테고리 &gt; 가공식품 &gt; 캔/통조림 &gt; 고등어/꽁치/골뱅이/번데기</v>
          </cell>
          <cell r="G357" t="str">
            <v>2023-06-07 17:17:08</v>
          </cell>
          <cell r="H357" t="str">
            <v/>
          </cell>
          <cell r="I357" t="str">
            <v>Y</v>
          </cell>
          <cell r="J357" t="str">
            <v>Y</v>
          </cell>
          <cell r="K357" t="str">
            <v>N</v>
          </cell>
          <cell r="L357" t="str">
            <v>할인율</v>
          </cell>
          <cell r="M357">
            <v>0</v>
          </cell>
          <cell r="N357" t="str">
            <v>Y</v>
          </cell>
          <cell r="O357" t="str">
            <v>해당없음</v>
          </cell>
          <cell r="P357" t="str">
            <v/>
          </cell>
          <cell r="Q357" t="str">
            <v>N</v>
          </cell>
          <cell r="R357">
            <v>510384</v>
          </cell>
        </row>
        <row r="358">
          <cell r="A358">
            <v>249690</v>
          </cell>
          <cell r="B358" t="str">
            <v>HC 강구나루 고등어 400g 24개</v>
          </cell>
          <cell r="C358" t="str">
            <v>100565</v>
          </cell>
          <cell r="D358" t="str">
            <v>식품 &gt; 상온가공식품 &gt; 캔/통조림 &gt; 고등어통조림</v>
          </cell>
          <cell r="E358" t="str">
            <v>102848</v>
          </cell>
          <cell r="F358" t="str">
            <v>기본카테고리 &gt; 가공식품 &gt; 캔/통조림 &gt; 고등어/꽁치/골뱅이/번데기</v>
          </cell>
          <cell r="G358" t="str">
            <v>2023-06-07 17:17:08</v>
          </cell>
          <cell r="H358" t="str">
            <v/>
          </cell>
          <cell r="I358" t="str">
            <v>Y</v>
          </cell>
          <cell r="J358" t="str">
            <v>Y</v>
          </cell>
          <cell r="K358" t="str">
            <v>N</v>
          </cell>
          <cell r="L358" t="str">
            <v>할인율</v>
          </cell>
          <cell r="M358">
            <v>0</v>
          </cell>
          <cell r="N358" t="str">
            <v>Y</v>
          </cell>
          <cell r="O358" t="str">
            <v>해당없음</v>
          </cell>
          <cell r="P358" t="str">
            <v/>
          </cell>
          <cell r="Q358" t="str">
            <v>N</v>
          </cell>
          <cell r="R358">
            <v>510383</v>
          </cell>
        </row>
        <row r="359">
          <cell r="A359">
            <v>249689</v>
          </cell>
          <cell r="B359" t="str">
            <v>유동 자연산골뱅이 140g 48개</v>
          </cell>
          <cell r="C359" t="str">
            <v>100569</v>
          </cell>
          <cell r="D359" t="str">
            <v>식품 &gt; 상온가공식품 &gt; 캔/통조림 &gt; 골뱅이통조림</v>
          </cell>
          <cell r="E359" t="str">
            <v>102848</v>
          </cell>
          <cell r="F359" t="str">
            <v>기본카테고리 &gt; 가공식품 &gt; 캔/통조림 &gt; 고등어/꽁치/골뱅이/번데기</v>
          </cell>
          <cell r="G359" t="str">
            <v>2023-06-07 17:17:08</v>
          </cell>
          <cell r="H359" t="str">
            <v/>
          </cell>
          <cell r="I359" t="str">
            <v>Y</v>
          </cell>
          <cell r="J359" t="str">
            <v>Y</v>
          </cell>
          <cell r="K359" t="str">
            <v>N</v>
          </cell>
          <cell r="L359" t="str">
            <v>할인율</v>
          </cell>
          <cell r="M359">
            <v>0</v>
          </cell>
          <cell r="N359" t="str">
            <v>Y</v>
          </cell>
          <cell r="O359" t="str">
            <v>해당없음</v>
          </cell>
          <cell r="P359" t="str">
            <v/>
          </cell>
          <cell r="Q359" t="str">
            <v>N</v>
          </cell>
          <cell r="R359">
            <v>510382</v>
          </cell>
        </row>
        <row r="360">
          <cell r="A360">
            <v>249688</v>
          </cell>
          <cell r="B360" t="str">
            <v>동표 을지로골뱅이 140g 48개</v>
          </cell>
          <cell r="C360" t="str">
            <v>100569</v>
          </cell>
          <cell r="D360" t="str">
            <v>식품 &gt; 상온가공식품 &gt; 캔/통조림 &gt; 골뱅이통조림</v>
          </cell>
          <cell r="E360" t="str">
            <v>102848</v>
          </cell>
          <cell r="F360" t="str">
            <v>기본카테고리 &gt; 가공식품 &gt; 캔/통조림 &gt; 고등어/꽁치/골뱅이/번데기</v>
          </cell>
          <cell r="G360" t="str">
            <v>2023-06-07 17:17:08</v>
          </cell>
          <cell r="H360" t="str">
            <v/>
          </cell>
          <cell r="I360" t="str">
            <v>Y</v>
          </cell>
          <cell r="J360" t="str">
            <v>Y</v>
          </cell>
          <cell r="K360" t="str">
            <v>N</v>
          </cell>
          <cell r="L360" t="str">
            <v>할인율</v>
          </cell>
          <cell r="M360">
            <v>0</v>
          </cell>
          <cell r="N360" t="str">
            <v>Y</v>
          </cell>
          <cell r="O360" t="str">
            <v>해당없음</v>
          </cell>
          <cell r="P360" t="str">
            <v/>
          </cell>
          <cell r="Q360" t="str">
            <v>N</v>
          </cell>
          <cell r="R360">
            <v>510381</v>
          </cell>
        </row>
        <row r="361">
          <cell r="A361">
            <v>249685</v>
          </cell>
          <cell r="B361" t="str">
            <v>동원 자연산골뱅이 140g 48개</v>
          </cell>
          <cell r="C361" t="str">
            <v>100569</v>
          </cell>
          <cell r="D361" t="str">
            <v>식품 &gt; 상온가공식품 &gt; 캔/통조림 &gt; 골뱅이통조림</v>
          </cell>
          <cell r="E361" t="str">
            <v>102848</v>
          </cell>
          <cell r="F361" t="str">
            <v>기본카테고리 &gt; 가공식품 &gt; 캔/통조림 &gt; 고등어/꽁치/골뱅이/번데기</v>
          </cell>
          <cell r="G361" t="str">
            <v>2023-06-07 17:17:08</v>
          </cell>
          <cell r="H361" t="str">
            <v/>
          </cell>
          <cell r="I361" t="str">
            <v>Y</v>
          </cell>
          <cell r="J361" t="str">
            <v>Y</v>
          </cell>
          <cell r="K361" t="str">
            <v>N</v>
          </cell>
          <cell r="L361" t="str">
            <v>할인율</v>
          </cell>
          <cell r="M361">
            <v>0</v>
          </cell>
          <cell r="N361" t="str">
            <v>Y</v>
          </cell>
          <cell r="O361" t="str">
            <v>해당없음</v>
          </cell>
          <cell r="P361" t="str">
            <v/>
          </cell>
          <cell r="Q361" t="str">
            <v>N</v>
          </cell>
          <cell r="R361">
            <v>510378</v>
          </cell>
        </row>
        <row r="362">
          <cell r="A362">
            <v>249684</v>
          </cell>
          <cell r="B362" t="str">
            <v>HC꽁치 400g(강구나루) 24개</v>
          </cell>
          <cell r="C362" t="str">
            <v>100566</v>
          </cell>
          <cell r="D362" t="str">
            <v>식품 &gt; 상온가공식품 &gt; 캔/통조림 &gt; 꽁치통조림</v>
          </cell>
          <cell r="E362" t="str">
            <v>102848</v>
          </cell>
          <cell r="F362" t="str">
            <v>기본카테고리 &gt; 가공식품 &gt; 캔/통조림 &gt; 고등어/꽁치/골뱅이/번데기</v>
          </cell>
          <cell r="G362" t="str">
            <v>2023-06-07 17:17:08</v>
          </cell>
          <cell r="H362" t="str">
            <v/>
          </cell>
          <cell r="I362" t="str">
            <v>Y</v>
          </cell>
          <cell r="J362" t="str">
            <v>Y</v>
          </cell>
          <cell r="K362" t="str">
            <v>N</v>
          </cell>
          <cell r="L362" t="str">
            <v>할인율</v>
          </cell>
          <cell r="M362">
            <v>0</v>
          </cell>
          <cell r="N362" t="str">
            <v>Y</v>
          </cell>
          <cell r="O362" t="str">
            <v>해당없음</v>
          </cell>
          <cell r="P362" t="str">
            <v/>
          </cell>
          <cell r="Q362" t="str">
            <v>N</v>
          </cell>
          <cell r="R362">
            <v>510377</v>
          </cell>
        </row>
        <row r="363">
          <cell r="A363">
            <v>249681</v>
          </cell>
          <cell r="B363" t="str">
            <v>유동 뚝배기번데기탕(구수한맛) 280g 24개</v>
          </cell>
          <cell r="C363" t="str">
            <v>100570</v>
          </cell>
          <cell r="D363" t="str">
            <v>식품 &gt; 상온가공식품 &gt; 캔/통조림 &gt; 번데기통조림</v>
          </cell>
          <cell r="E363" t="str">
            <v>102848</v>
          </cell>
          <cell r="F363" t="str">
            <v>기본카테고리 &gt; 가공식품 &gt; 캔/통조림 &gt; 고등어/꽁치/골뱅이/번데기</v>
          </cell>
          <cell r="G363" t="str">
            <v>2023-06-07 17:17:08</v>
          </cell>
          <cell r="H363" t="str">
            <v/>
          </cell>
          <cell r="I363" t="str">
            <v>Y</v>
          </cell>
          <cell r="J363" t="str">
            <v>Y</v>
          </cell>
          <cell r="K363" t="str">
            <v>N</v>
          </cell>
          <cell r="L363" t="str">
            <v>할인율</v>
          </cell>
          <cell r="M363">
            <v>0</v>
          </cell>
          <cell r="N363" t="str">
            <v>Y</v>
          </cell>
          <cell r="O363" t="str">
            <v>해당없음</v>
          </cell>
          <cell r="P363" t="str">
            <v/>
          </cell>
          <cell r="Q363" t="str">
            <v>N</v>
          </cell>
          <cell r="R363">
            <v>510374</v>
          </cell>
        </row>
        <row r="364">
          <cell r="A364">
            <v>249680</v>
          </cell>
          <cell r="B364" t="str">
            <v>유동 번데기 280g 24개</v>
          </cell>
          <cell r="C364" t="str">
            <v>100570</v>
          </cell>
          <cell r="D364" t="str">
            <v>식품 &gt; 상온가공식품 &gt; 캔/통조림 &gt; 번데기통조림</v>
          </cell>
          <cell r="E364" t="str">
            <v>102848</v>
          </cell>
          <cell r="F364" t="str">
            <v>기본카테고리 &gt; 가공식품 &gt; 캔/통조림 &gt; 고등어/꽁치/골뱅이/번데기</v>
          </cell>
          <cell r="G364" t="str">
            <v>2023-06-07 17:17:08</v>
          </cell>
          <cell r="H364" t="str">
            <v/>
          </cell>
          <cell r="I364" t="str">
            <v>Y</v>
          </cell>
          <cell r="J364" t="str">
            <v>Y</v>
          </cell>
          <cell r="K364" t="str">
            <v>N</v>
          </cell>
          <cell r="L364" t="str">
            <v>할인율</v>
          </cell>
          <cell r="M364">
            <v>0</v>
          </cell>
          <cell r="N364" t="str">
            <v>Y</v>
          </cell>
          <cell r="O364" t="str">
            <v>해당없음</v>
          </cell>
          <cell r="P364" t="str">
            <v/>
          </cell>
          <cell r="Q364" t="str">
            <v>N</v>
          </cell>
          <cell r="R364">
            <v>510373</v>
          </cell>
        </row>
        <row r="365">
          <cell r="A365">
            <v>249678</v>
          </cell>
          <cell r="B365" t="str">
            <v>유동 자연산 골뱅이 400g 24개</v>
          </cell>
          <cell r="C365" t="str">
            <v>100569</v>
          </cell>
          <cell r="D365" t="str">
            <v>식품 &gt; 상온가공식품 &gt; 캔/통조림 &gt; 골뱅이통조림</v>
          </cell>
          <cell r="E365" t="str">
            <v>102848</v>
          </cell>
          <cell r="F365" t="str">
            <v>기본카테고리 &gt; 가공식품 &gt; 캔/통조림 &gt; 고등어/꽁치/골뱅이/번데기</v>
          </cell>
          <cell r="G365" t="str">
            <v>2023-06-07 17:17:08</v>
          </cell>
          <cell r="H365" t="str">
            <v/>
          </cell>
          <cell r="I365" t="str">
            <v>Y</v>
          </cell>
          <cell r="J365" t="str">
            <v>Y</v>
          </cell>
          <cell r="K365" t="str">
            <v>N</v>
          </cell>
          <cell r="L365" t="str">
            <v>할인율</v>
          </cell>
          <cell r="M365">
            <v>0</v>
          </cell>
          <cell r="N365" t="str">
            <v>Y</v>
          </cell>
          <cell r="O365" t="str">
            <v>해당없음</v>
          </cell>
          <cell r="P365" t="str">
            <v/>
          </cell>
          <cell r="Q365" t="str">
            <v>N</v>
          </cell>
          <cell r="R365">
            <v>510371</v>
          </cell>
        </row>
        <row r="366">
          <cell r="A366">
            <v>249677</v>
          </cell>
          <cell r="B366" t="str">
            <v>유동 꽁치 통조림 400g 24개</v>
          </cell>
          <cell r="C366" t="str">
            <v>100566</v>
          </cell>
          <cell r="D366" t="str">
            <v>식품 &gt; 상온가공식품 &gt; 캔/통조림 &gt; 꽁치통조림</v>
          </cell>
          <cell r="E366" t="str">
            <v>102848</v>
          </cell>
          <cell r="F366" t="str">
            <v>기본카테고리 &gt; 가공식품 &gt; 캔/통조림 &gt; 고등어/꽁치/골뱅이/번데기</v>
          </cell>
          <cell r="G366" t="str">
            <v>2023-06-07 17:17:08</v>
          </cell>
          <cell r="H366" t="str">
            <v/>
          </cell>
          <cell r="I366" t="str">
            <v>Y</v>
          </cell>
          <cell r="J366" t="str">
            <v>Y</v>
          </cell>
          <cell r="K366" t="str">
            <v>N</v>
          </cell>
          <cell r="L366" t="str">
            <v>할인율</v>
          </cell>
          <cell r="M366">
            <v>0</v>
          </cell>
          <cell r="N366" t="str">
            <v>Y</v>
          </cell>
          <cell r="O366" t="str">
            <v>해당없음</v>
          </cell>
          <cell r="P366" t="str">
            <v/>
          </cell>
          <cell r="Q366" t="str">
            <v>N</v>
          </cell>
          <cell r="R366">
            <v>510370</v>
          </cell>
        </row>
        <row r="367">
          <cell r="A367">
            <v>249676</v>
          </cell>
          <cell r="B367" t="str">
            <v>유동 자연산골뱅이 230g 24개</v>
          </cell>
          <cell r="C367" t="str">
            <v>100569</v>
          </cell>
          <cell r="D367" t="str">
            <v>식품 &gt; 상온가공식품 &gt; 캔/통조림 &gt; 골뱅이통조림</v>
          </cell>
          <cell r="E367" t="str">
            <v>102848</v>
          </cell>
          <cell r="F367" t="str">
            <v>기본카테고리 &gt; 가공식품 &gt; 캔/통조림 &gt; 고등어/꽁치/골뱅이/번데기</v>
          </cell>
          <cell r="G367" t="str">
            <v>2023-06-07 17:17:08</v>
          </cell>
          <cell r="H367" t="str">
            <v/>
          </cell>
          <cell r="I367" t="str">
            <v>Y</v>
          </cell>
          <cell r="J367" t="str">
            <v>Y</v>
          </cell>
          <cell r="K367" t="str">
            <v>N</v>
          </cell>
          <cell r="L367" t="str">
            <v>할인율</v>
          </cell>
          <cell r="M367">
            <v>0</v>
          </cell>
          <cell r="N367" t="str">
            <v>Y</v>
          </cell>
          <cell r="O367" t="str">
            <v>해당없음</v>
          </cell>
          <cell r="P367" t="str">
            <v/>
          </cell>
          <cell r="Q367" t="str">
            <v>N</v>
          </cell>
          <cell r="R367">
            <v>510369</v>
          </cell>
        </row>
        <row r="368">
          <cell r="A368">
            <v>249675</v>
          </cell>
          <cell r="B368" t="str">
            <v>동표 을지로골뱅이 230g 24개</v>
          </cell>
          <cell r="C368" t="str">
            <v>100569</v>
          </cell>
          <cell r="D368" t="str">
            <v>식품 &gt; 상온가공식품 &gt; 캔/통조림 &gt; 골뱅이통조림</v>
          </cell>
          <cell r="E368" t="str">
            <v>102848</v>
          </cell>
          <cell r="F368" t="str">
            <v>기본카테고리 &gt; 가공식품 &gt; 캔/통조림 &gt; 고등어/꽁치/골뱅이/번데기</v>
          </cell>
          <cell r="G368" t="str">
            <v>2023-06-07 17:17:08</v>
          </cell>
          <cell r="H368" t="str">
            <v/>
          </cell>
          <cell r="I368" t="str">
            <v>Y</v>
          </cell>
          <cell r="J368" t="str">
            <v>Y</v>
          </cell>
          <cell r="K368" t="str">
            <v>N</v>
          </cell>
          <cell r="L368" t="str">
            <v>할인율</v>
          </cell>
          <cell r="M368">
            <v>0</v>
          </cell>
          <cell r="N368" t="str">
            <v>Y</v>
          </cell>
          <cell r="O368" t="str">
            <v>해당없음</v>
          </cell>
          <cell r="P368" t="str">
            <v/>
          </cell>
          <cell r="Q368" t="str">
            <v>N</v>
          </cell>
          <cell r="R368">
            <v>510368</v>
          </cell>
        </row>
        <row r="369">
          <cell r="A369">
            <v>249674</v>
          </cell>
          <cell r="B369" t="str">
            <v>동표 을지로골뱅이 400g 24개</v>
          </cell>
          <cell r="C369" t="str">
            <v>100569</v>
          </cell>
          <cell r="D369" t="str">
            <v>식품 &gt; 상온가공식품 &gt; 캔/통조림 &gt; 골뱅이통조림</v>
          </cell>
          <cell r="E369" t="str">
            <v>102848</v>
          </cell>
          <cell r="F369" t="str">
            <v>기본카테고리 &gt; 가공식품 &gt; 캔/통조림 &gt; 고등어/꽁치/골뱅이/번데기</v>
          </cell>
          <cell r="G369" t="str">
            <v>2023-06-07 17:17:08</v>
          </cell>
          <cell r="H369" t="str">
            <v/>
          </cell>
          <cell r="I369" t="str">
            <v>Y</v>
          </cell>
          <cell r="J369" t="str">
            <v>Y</v>
          </cell>
          <cell r="K369" t="str">
            <v>N</v>
          </cell>
          <cell r="L369" t="str">
            <v>할인율</v>
          </cell>
          <cell r="M369">
            <v>0</v>
          </cell>
          <cell r="N369" t="str">
            <v>Y</v>
          </cell>
          <cell r="O369" t="str">
            <v>해당없음</v>
          </cell>
          <cell r="P369" t="str">
            <v/>
          </cell>
          <cell r="Q369" t="str">
            <v>N</v>
          </cell>
          <cell r="R369">
            <v>510367</v>
          </cell>
        </row>
        <row r="370">
          <cell r="A370">
            <v>249673</v>
          </cell>
          <cell r="B370" t="str">
            <v>리치스 파인애플 슬라이스 통조림 836g 12개</v>
          </cell>
          <cell r="C370" t="str">
            <v>100573</v>
          </cell>
          <cell r="D370" t="str">
            <v>식품 &gt; 상온가공식품 &gt; 캔/통조림 &gt; 기타과일통조림</v>
          </cell>
          <cell r="E370" t="str">
            <v>102851</v>
          </cell>
          <cell r="F370" t="str">
            <v>기본카테고리 &gt; 가공식품 &gt; 캔/통조림 &gt; 돈육통조림/스팸</v>
          </cell>
          <cell r="G370" t="str">
            <v>2023-06-07 17:17:08</v>
          </cell>
          <cell r="H370" t="str">
            <v/>
          </cell>
          <cell r="I370" t="str">
            <v>Y</v>
          </cell>
          <cell r="J370" t="str">
            <v>Y</v>
          </cell>
          <cell r="K370" t="str">
            <v>N</v>
          </cell>
          <cell r="L370" t="str">
            <v>할인율</v>
          </cell>
          <cell r="M370">
            <v>0</v>
          </cell>
          <cell r="N370" t="str">
            <v>Y</v>
          </cell>
          <cell r="O370" t="str">
            <v>해당없음</v>
          </cell>
          <cell r="P370" t="str">
            <v/>
          </cell>
          <cell r="Q370" t="str">
            <v>N</v>
          </cell>
          <cell r="R370">
            <v>510366</v>
          </cell>
        </row>
        <row r="371">
          <cell r="A371">
            <v>249672</v>
          </cell>
          <cell r="B371" t="str">
            <v>리치스 후르츠칵테일 통조림 850g 12개</v>
          </cell>
          <cell r="C371" t="str">
            <v>100573</v>
          </cell>
          <cell r="D371" t="str">
            <v>식품 &gt; 상온가공식품 &gt; 캔/통조림 &gt; 기타과일통조림</v>
          </cell>
          <cell r="E371" t="str">
            <v>102851</v>
          </cell>
          <cell r="F371" t="str">
            <v>기본카테고리 &gt; 가공식품 &gt; 캔/통조림 &gt; 돈육통조림/스팸</v>
          </cell>
          <cell r="G371" t="str">
            <v>2023-06-07 17:17:08</v>
          </cell>
          <cell r="H371" t="str">
            <v/>
          </cell>
          <cell r="I371" t="str">
            <v>Y</v>
          </cell>
          <cell r="J371" t="str">
            <v>Y</v>
          </cell>
          <cell r="K371" t="str">
            <v>N</v>
          </cell>
          <cell r="L371" t="str">
            <v>할인율</v>
          </cell>
          <cell r="M371">
            <v>0</v>
          </cell>
          <cell r="N371" t="str">
            <v>Y</v>
          </cell>
          <cell r="O371" t="str">
            <v>해당없음</v>
          </cell>
          <cell r="P371" t="str">
            <v/>
          </cell>
          <cell r="Q371" t="str">
            <v>N</v>
          </cell>
          <cell r="R371">
            <v>510365</v>
          </cell>
        </row>
        <row r="372">
          <cell r="A372">
            <v>249671</v>
          </cell>
          <cell r="B372" t="str">
            <v>삼아 완두콩 400g 24개</v>
          </cell>
          <cell r="C372" t="str">
            <v>100586</v>
          </cell>
          <cell r="D372" t="str">
            <v>식품 &gt; 상온가공식품 &gt; 캔/통조림 &gt; 콩통조림</v>
          </cell>
          <cell r="E372" t="str">
            <v>102849</v>
          </cell>
          <cell r="F372" t="str">
            <v>기본카테고리 &gt; 가공식품 &gt; 캔/통조림 &gt; 과일/농산/기타</v>
          </cell>
          <cell r="G372" t="str">
            <v>2023-06-07 17:17:08</v>
          </cell>
          <cell r="H372" t="str">
            <v/>
          </cell>
          <cell r="I372" t="str">
            <v>Y</v>
          </cell>
          <cell r="J372" t="str">
            <v>Y</v>
          </cell>
          <cell r="K372" t="str">
            <v>N</v>
          </cell>
          <cell r="L372" t="str">
            <v>할인율</v>
          </cell>
          <cell r="M372">
            <v>0</v>
          </cell>
          <cell r="N372" t="str">
            <v>Y</v>
          </cell>
          <cell r="O372" t="str">
            <v>해당없음</v>
          </cell>
          <cell r="P372" t="str">
            <v/>
          </cell>
          <cell r="Q372" t="str">
            <v>N</v>
          </cell>
          <cell r="R372">
            <v>510364</v>
          </cell>
        </row>
        <row r="373">
          <cell r="A373">
            <v>249670</v>
          </cell>
          <cell r="B373" t="str">
            <v>삼아 베이크드빈스 400g 24개</v>
          </cell>
          <cell r="C373" t="str">
            <v>100586</v>
          </cell>
          <cell r="D373" t="str">
            <v>식품 &gt; 상온가공식품 &gt; 캔/통조림 &gt; 콩통조림</v>
          </cell>
          <cell r="E373" t="str">
            <v>102849</v>
          </cell>
          <cell r="F373" t="str">
            <v>기본카테고리 &gt; 가공식품 &gt; 캔/통조림 &gt; 과일/농산/기타</v>
          </cell>
          <cell r="G373" t="str">
            <v>2023-06-07 17:17:08</v>
          </cell>
          <cell r="H373" t="str">
            <v/>
          </cell>
          <cell r="I373" t="str">
            <v>Y</v>
          </cell>
          <cell r="J373" t="str">
            <v>Y</v>
          </cell>
          <cell r="K373" t="str">
            <v>N</v>
          </cell>
          <cell r="L373" t="str">
            <v>할인율</v>
          </cell>
          <cell r="M373">
            <v>0</v>
          </cell>
          <cell r="N373" t="str">
            <v>Y</v>
          </cell>
          <cell r="O373" t="str">
            <v>해당없음</v>
          </cell>
          <cell r="P373" t="str">
            <v/>
          </cell>
          <cell r="Q373" t="str">
            <v>N</v>
          </cell>
          <cell r="R373">
            <v>510363</v>
          </cell>
        </row>
        <row r="374">
          <cell r="A374">
            <v>249669</v>
          </cell>
          <cell r="B374" t="str">
            <v>강구나루 황도 슬라이스 400g 24개</v>
          </cell>
          <cell r="C374" t="str">
            <v>100572</v>
          </cell>
          <cell r="D374" t="str">
            <v>식품 &gt; 상온가공식품 &gt; 캔/통조림 &gt; 황도통조림</v>
          </cell>
          <cell r="E374" t="str">
            <v>102849</v>
          </cell>
          <cell r="F374" t="str">
            <v>기본카테고리 &gt; 가공식품 &gt; 캔/통조림 &gt; 과일/농산/기타</v>
          </cell>
          <cell r="G374" t="str">
            <v>2023-06-07 17:17:08</v>
          </cell>
          <cell r="H374" t="str">
            <v/>
          </cell>
          <cell r="I374" t="str">
            <v>Y</v>
          </cell>
          <cell r="J374" t="str">
            <v>Y</v>
          </cell>
          <cell r="K374" t="str">
            <v>N</v>
          </cell>
          <cell r="L374" t="str">
            <v>할인율</v>
          </cell>
          <cell r="M374">
            <v>0</v>
          </cell>
          <cell r="N374" t="str">
            <v>Y</v>
          </cell>
          <cell r="O374" t="str">
            <v>해당없음</v>
          </cell>
          <cell r="P374" t="str">
            <v/>
          </cell>
          <cell r="Q374" t="str">
            <v>N</v>
          </cell>
          <cell r="R374">
            <v>510362</v>
          </cell>
        </row>
        <row r="375">
          <cell r="A375">
            <v>249668</v>
          </cell>
          <cell r="B375" t="str">
            <v>펭귄 백도 2절 400g 24개</v>
          </cell>
          <cell r="C375" t="str">
            <v>100058</v>
          </cell>
          <cell r="D375" t="str">
            <v>식품 &gt; 신선식품 &gt; 과일류 &gt; 과일 &gt; 복숭아</v>
          </cell>
          <cell r="E375" t="str">
            <v>102924</v>
          </cell>
          <cell r="F375" t="str">
            <v>기본카테고리 &gt; 농수축산물 &gt; 채소/과일 &gt; 신선과일</v>
          </cell>
          <cell r="G375" t="str">
            <v>2023-06-07 17:17:08</v>
          </cell>
          <cell r="H375" t="str">
            <v/>
          </cell>
          <cell r="I375" t="str">
            <v>Y</v>
          </cell>
          <cell r="J375" t="str">
            <v>Y</v>
          </cell>
          <cell r="K375" t="str">
            <v>N</v>
          </cell>
          <cell r="L375" t="str">
            <v>할인율</v>
          </cell>
          <cell r="M375">
            <v>0</v>
          </cell>
          <cell r="N375" t="str">
            <v>Y</v>
          </cell>
          <cell r="O375" t="str">
            <v>해당없음</v>
          </cell>
          <cell r="P375" t="str">
            <v/>
          </cell>
          <cell r="Q375" t="str">
            <v>N</v>
          </cell>
          <cell r="R375">
            <v>510361</v>
          </cell>
        </row>
        <row r="376">
          <cell r="A376">
            <v>249667</v>
          </cell>
          <cell r="B376" t="str">
            <v>펭귄 황도 신형 2절 400g 24개</v>
          </cell>
          <cell r="C376" t="str">
            <v>100572</v>
          </cell>
          <cell r="D376" t="str">
            <v>식품 &gt; 상온가공식품 &gt; 캔/통조림 &gt; 황도통조림</v>
          </cell>
          <cell r="E376" t="str">
            <v>102849</v>
          </cell>
          <cell r="F376" t="str">
            <v>기본카테고리 &gt; 가공식품 &gt; 캔/통조림 &gt; 과일/농산/기타</v>
          </cell>
          <cell r="G376" t="str">
            <v>2023-06-07 17:17:08</v>
          </cell>
          <cell r="H376" t="str">
            <v/>
          </cell>
          <cell r="I376" t="str">
            <v>Y</v>
          </cell>
          <cell r="J376" t="str">
            <v>Y</v>
          </cell>
          <cell r="K376" t="str">
            <v>N</v>
          </cell>
          <cell r="L376" t="str">
            <v>할인율</v>
          </cell>
          <cell r="M376">
            <v>0</v>
          </cell>
          <cell r="N376" t="str">
            <v>Y</v>
          </cell>
          <cell r="O376" t="str">
            <v>해당없음</v>
          </cell>
          <cell r="P376" t="str">
            <v/>
          </cell>
          <cell r="Q376" t="str">
            <v>N</v>
          </cell>
          <cell r="R376">
            <v>510360</v>
          </cell>
        </row>
        <row r="377">
          <cell r="A377">
            <v>249665</v>
          </cell>
          <cell r="B377" t="str">
            <v>유동 황도슬라이스 400g 24개</v>
          </cell>
          <cell r="C377" t="str">
            <v>100572</v>
          </cell>
          <cell r="D377" t="str">
            <v>식품 &gt; 상온가공식품 &gt; 캔/통조림 &gt; 황도통조림</v>
          </cell>
          <cell r="E377" t="str">
            <v>102849</v>
          </cell>
          <cell r="F377" t="str">
            <v>기본카테고리 &gt; 가공식품 &gt; 캔/통조림 &gt; 과일/농산/기타</v>
          </cell>
          <cell r="G377" t="str">
            <v>2023-06-07 17:17:08</v>
          </cell>
          <cell r="H377" t="str">
            <v/>
          </cell>
          <cell r="I377" t="str">
            <v>Y</v>
          </cell>
          <cell r="J377" t="str">
            <v>Y</v>
          </cell>
          <cell r="K377" t="str">
            <v>N</v>
          </cell>
          <cell r="L377" t="str">
            <v>할인율</v>
          </cell>
          <cell r="M377">
            <v>0</v>
          </cell>
          <cell r="N377" t="str">
            <v>Y</v>
          </cell>
          <cell r="O377" t="str">
            <v>해당없음</v>
          </cell>
          <cell r="P377" t="str">
            <v/>
          </cell>
          <cell r="Q377" t="str">
            <v>N</v>
          </cell>
          <cell r="R377">
            <v>510358</v>
          </cell>
        </row>
        <row r="378">
          <cell r="A378">
            <v>249664</v>
          </cell>
          <cell r="B378" t="str">
            <v>펭귄 황도 슬라이스 400g 24개</v>
          </cell>
          <cell r="C378" t="str">
            <v>100572</v>
          </cell>
          <cell r="D378" t="str">
            <v>식품 &gt; 상온가공식품 &gt; 캔/통조림 &gt; 황도통조림</v>
          </cell>
          <cell r="E378" t="str">
            <v>102849</v>
          </cell>
          <cell r="F378" t="str">
            <v>기본카테고리 &gt; 가공식품 &gt; 캔/통조림 &gt; 과일/농산/기타</v>
          </cell>
          <cell r="G378" t="str">
            <v>2023-06-07 17:17:08</v>
          </cell>
          <cell r="H378" t="str">
            <v/>
          </cell>
          <cell r="I378" t="str">
            <v>Y</v>
          </cell>
          <cell r="J378" t="str">
            <v>Y</v>
          </cell>
          <cell r="K378" t="str">
            <v>N</v>
          </cell>
          <cell r="L378" t="str">
            <v>할인율</v>
          </cell>
          <cell r="M378">
            <v>0</v>
          </cell>
          <cell r="N378" t="str">
            <v>Y</v>
          </cell>
          <cell r="O378" t="str">
            <v>해당없음</v>
          </cell>
          <cell r="P378" t="str">
            <v/>
          </cell>
          <cell r="Q378" t="str">
            <v>N</v>
          </cell>
          <cell r="R378">
            <v>510357</v>
          </cell>
        </row>
        <row r="379">
          <cell r="A379">
            <v>249662</v>
          </cell>
          <cell r="B379" t="str">
            <v>동서 리치스홀커널스위트콘 소 (태국) 425g *24캔</v>
          </cell>
          <cell r="C379" t="str">
            <v>100572</v>
          </cell>
          <cell r="D379" t="str">
            <v>식품 &gt; 상온가공식품 &gt; 캔/통조림 &gt; 황도통조림</v>
          </cell>
          <cell r="E379" t="str">
            <v>102849</v>
          </cell>
          <cell r="F379" t="str">
            <v>기본카테고리 &gt; 가공식품 &gt; 캔/통조림 &gt; 과일/농산/기타</v>
          </cell>
          <cell r="G379" t="str">
            <v>2023-06-07 17:17:08</v>
          </cell>
          <cell r="H379" t="str">
            <v/>
          </cell>
          <cell r="I379" t="str">
            <v>Y</v>
          </cell>
          <cell r="J379" t="str">
            <v>Y</v>
          </cell>
          <cell r="K379" t="str">
            <v>N</v>
          </cell>
          <cell r="L379" t="str">
            <v>할인율</v>
          </cell>
          <cell r="M379">
            <v>0</v>
          </cell>
          <cell r="N379" t="str">
            <v>Y</v>
          </cell>
          <cell r="O379" t="str">
            <v>해당없음</v>
          </cell>
          <cell r="P379" t="str">
            <v/>
          </cell>
          <cell r="Q379" t="str">
            <v>N</v>
          </cell>
          <cell r="R379">
            <v>510355</v>
          </cell>
        </row>
        <row r="380">
          <cell r="A380">
            <v>249661</v>
          </cell>
          <cell r="B380" t="str">
            <v>델몬트 파인애플 통조림 836g 24개</v>
          </cell>
          <cell r="C380" t="str">
            <v>100572</v>
          </cell>
          <cell r="D380" t="str">
            <v>식품 &gt; 상온가공식품 &gt; 캔/통조림 &gt; 황도통조림</v>
          </cell>
          <cell r="E380" t="str">
            <v>102849</v>
          </cell>
          <cell r="F380" t="str">
            <v>기본카테고리 &gt; 가공식품 &gt; 캔/통조림 &gt; 과일/농산/기타</v>
          </cell>
          <cell r="G380" t="str">
            <v>2023-06-07 17:17:08</v>
          </cell>
          <cell r="H380" t="str">
            <v/>
          </cell>
          <cell r="I380" t="str">
            <v>Y</v>
          </cell>
          <cell r="J380" t="str">
            <v>Y</v>
          </cell>
          <cell r="K380" t="str">
            <v>N</v>
          </cell>
          <cell r="L380" t="str">
            <v>할인율</v>
          </cell>
          <cell r="M380">
            <v>0</v>
          </cell>
          <cell r="N380" t="str">
            <v>Y</v>
          </cell>
          <cell r="O380" t="str">
            <v>해당없음</v>
          </cell>
          <cell r="P380" t="str">
            <v/>
          </cell>
          <cell r="Q380" t="str">
            <v>N</v>
          </cell>
          <cell r="R380">
            <v>510354</v>
          </cell>
        </row>
        <row r="381">
          <cell r="A381">
            <v>249659</v>
          </cell>
          <cell r="B381" t="str">
            <v>델몬트 후르츠칵테일 통조림 850g 24개</v>
          </cell>
          <cell r="C381" t="str">
            <v>100573</v>
          </cell>
          <cell r="D381" t="str">
            <v>식품 &gt; 상온가공식품 &gt; 캔/통조림 &gt; 기타과일통조림</v>
          </cell>
          <cell r="E381" t="str">
            <v>102851</v>
          </cell>
          <cell r="F381" t="str">
            <v>기본카테고리 &gt; 가공식품 &gt; 캔/통조림 &gt; 돈육통조림/스팸</v>
          </cell>
          <cell r="G381" t="str">
            <v>2023-06-07 17:17:08</v>
          </cell>
          <cell r="H381" t="str">
            <v/>
          </cell>
          <cell r="I381" t="str">
            <v>Y</v>
          </cell>
          <cell r="J381" t="str">
            <v>Y</v>
          </cell>
          <cell r="K381" t="str">
            <v>N</v>
          </cell>
          <cell r="L381" t="str">
            <v>할인율</v>
          </cell>
          <cell r="M381">
            <v>0</v>
          </cell>
          <cell r="N381" t="str">
            <v>Y</v>
          </cell>
          <cell r="O381" t="str">
            <v>해당없음</v>
          </cell>
          <cell r="P381" t="str">
            <v/>
          </cell>
          <cell r="Q381" t="str">
            <v>N</v>
          </cell>
          <cell r="R381">
            <v>510352</v>
          </cell>
        </row>
        <row r="382">
          <cell r="A382">
            <v>249657</v>
          </cell>
          <cell r="B382" t="str">
            <v>동서 리치스블랙올리브슬라이스405g*24캔</v>
          </cell>
          <cell r="C382" t="str">
            <v>100591</v>
          </cell>
          <cell r="D382" t="str">
            <v>식품 &gt; 상온가공식품 &gt; 캔/통조림 &gt; 절임류통조림</v>
          </cell>
          <cell r="E382" t="str">
            <v>102849</v>
          </cell>
          <cell r="F382" t="str">
            <v>기본카테고리 &gt; 가공식품 &gt; 캔/통조림 &gt; 과일/농산/기타</v>
          </cell>
          <cell r="G382" t="str">
            <v>2023-06-07 17:17:08</v>
          </cell>
          <cell r="H382" t="str">
            <v/>
          </cell>
          <cell r="I382" t="str">
            <v>Y</v>
          </cell>
          <cell r="J382" t="str">
            <v>Y</v>
          </cell>
          <cell r="K382" t="str">
            <v>N</v>
          </cell>
          <cell r="L382" t="str">
            <v>할인율</v>
          </cell>
          <cell r="M382">
            <v>0</v>
          </cell>
          <cell r="N382" t="str">
            <v>Y</v>
          </cell>
          <cell r="O382" t="str">
            <v>해당없음</v>
          </cell>
          <cell r="P382" t="str">
            <v/>
          </cell>
          <cell r="Q382" t="str">
            <v>N</v>
          </cell>
          <cell r="R382">
            <v>510350</v>
          </cell>
        </row>
        <row r="383">
          <cell r="A383">
            <v>249652</v>
          </cell>
          <cell r="B383" t="str">
            <v>동원참치 마일드 200g 36개</v>
          </cell>
          <cell r="C383" t="str">
            <v>100597</v>
          </cell>
          <cell r="D383" t="str">
            <v>식품 &gt; 상온가공식품 &gt; 캔/통조림 &gt; 참치통조림</v>
          </cell>
          <cell r="E383" t="str">
            <v>102850</v>
          </cell>
          <cell r="F383" t="str">
            <v>기본카테고리 &gt; 가공식품 &gt; 캔/통조림 &gt; 참치/닭가슴살</v>
          </cell>
          <cell r="G383" t="str">
            <v>2023-06-07 17:17:08</v>
          </cell>
          <cell r="H383" t="str">
            <v/>
          </cell>
          <cell r="I383" t="str">
            <v>Y</v>
          </cell>
          <cell r="J383" t="str">
            <v>Y</v>
          </cell>
          <cell r="K383" t="str">
            <v>N</v>
          </cell>
          <cell r="L383" t="str">
            <v>할인율</v>
          </cell>
          <cell r="M383">
            <v>0</v>
          </cell>
          <cell r="N383" t="str">
            <v>Y</v>
          </cell>
          <cell r="O383" t="str">
            <v>해당없음</v>
          </cell>
          <cell r="P383" t="str">
            <v/>
          </cell>
          <cell r="Q383" t="str">
            <v>N</v>
          </cell>
          <cell r="R383">
            <v>510345</v>
          </cell>
        </row>
        <row r="384">
          <cell r="A384">
            <v>249651</v>
          </cell>
          <cell r="B384" t="str">
            <v>동원참치 살코기 200g 36개</v>
          </cell>
          <cell r="C384" t="str">
            <v>100597</v>
          </cell>
          <cell r="D384" t="str">
            <v>식품 &gt; 상온가공식품 &gt; 캔/통조림 &gt; 참치통조림</v>
          </cell>
          <cell r="E384" t="str">
            <v>102850</v>
          </cell>
          <cell r="F384" t="str">
            <v>기본카테고리 &gt; 가공식품 &gt; 캔/통조림 &gt; 참치/닭가슴살</v>
          </cell>
          <cell r="G384" t="str">
            <v>2023-06-07 17:17:08</v>
          </cell>
          <cell r="H384" t="str">
            <v/>
          </cell>
          <cell r="I384" t="str">
            <v>Y</v>
          </cell>
          <cell r="J384" t="str">
            <v>Y</v>
          </cell>
          <cell r="K384" t="str">
            <v>N</v>
          </cell>
          <cell r="L384" t="str">
            <v>할인율</v>
          </cell>
          <cell r="M384">
            <v>0</v>
          </cell>
          <cell r="N384" t="str">
            <v>Y</v>
          </cell>
          <cell r="O384" t="str">
            <v>해당없음</v>
          </cell>
          <cell r="P384" t="str">
            <v/>
          </cell>
          <cell r="Q384" t="str">
            <v>N</v>
          </cell>
          <cell r="R384">
            <v>510344</v>
          </cell>
        </row>
        <row r="385">
          <cell r="A385">
            <v>249646</v>
          </cell>
          <cell r="B385" t="str">
            <v>남양 커피믹스 루카스나인 라떼 30T 4개</v>
          </cell>
          <cell r="C385" t="str">
            <v>101070</v>
          </cell>
          <cell r="D385" t="str">
            <v>식품 &gt; 생수/음료/커피 &gt; 음료분말 &gt; 기타분말</v>
          </cell>
          <cell r="E385" t="str">
            <v>102803</v>
          </cell>
          <cell r="F385" t="str">
            <v>기본카테고리 &gt; 가공식품 &gt; 음료/파우더/시럽 &gt; 시럽/파우더/농축액</v>
          </cell>
          <cell r="G385" t="str">
            <v>2023-06-07 17:17:08</v>
          </cell>
          <cell r="H385" t="str">
            <v/>
          </cell>
          <cell r="I385" t="str">
            <v>Y</v>
          </cell>
          <cell r="J385" t="str">
            <v>Y</v>
          </cell>
          <cell r="K385" t="str">
            <v>N</v>
          </cell>
          <cell r="L385" t="str">
            <v>할인율</v>
          </cell>
          <cell r="M385">
            <v>0</v>
          </cell>
          <cell r="N385" t="str">
            <v>Y</v>
          </cell>
          <cell r="O385" t="str">
            <v>해당없음</v>
          </cell>
          <cell r="P385" t="str">
            <v/>
          </cell>
          <cell r="Q385" t="str">
            <v>N</v>
          </cell>
          <cell r="R385">
            <v>510339</v>
          </cell>
        </row>
        <row r="386">
          <cell r="A386">
            <v>249645</v>
          </cell>
          <cell r="B386" t="str">
            <v>남양 프렌치카페 커피믹스 20T 24개</v>
          </cell>
          <cell r="C386" t="str">
            <v>115214</v>
          </cell>
          <cell r="D386" t="str">
            <v>식품 &gt; 생수/음료/커피 &gt; 커피 &gt; 커피믹스/인스턴트커피</v>
          </cell>
          <cell r="E386" t="str">
            <v>102801</v>
          </cell>
          <cell r="F386" t="str">
            <v>기본카테고리 &gt; 가공식품 &gt; 음료/파우더/시럽 &gt; 커피/원두</v>
          </cell>
          <cell r="G386" t="str">
            <v>2023-06-07 17:17:08</v>
          </cell>
          <cell r="H386" t="str">
            <v/>
          </cell>
          <cell r="I386" t="str">
            <v>Y</v>
          </cell>
          <cell r="J386" t="str">
            <v>Y</v>
          </cell>
          <cell r="K386" t="str">
            <v>N</v>
          </cell>
          <cell r="L386" t="str">
            <v>할인율</v>
          </cell>
          <cell r="M386">
            <v>0</v>
          </cell>
          <cell r="N386" t="str">
            <v>Y</v>
          </cell>
          <cell r="O386" t="str">
            <v>해당없음</v>
          </cell>
          <cell r="P386" t="str">
            <v/>
          </cell>
          <cell r="Q386" t="str">
            <v>N</v>
          </cell>
          <cell r="R386">
            <v>510338</v>
          </cell>
        </row>
        <row r="387">
          <cell r="A387">
            <v>249644</v>
          </cell>
          <cell r="B387" t="str">
            <v>남양 프렌치카페 커피믹스 (90T+10T) 8개</v>
          </cell>
          <cell r="C387" t="str">
            <v>101070</v>
          </cell>
          <cell r="D387" t="str">
            <v>식품 &gt; 생수/음료/커피 &gt; 음료분말 &gt; 기타분말</v>
          </cell>
          <cell r="E387" t="str">
            <v>102803</v>
          </cell>
          <cell r="F387" t="str">
            <v>기본카테고리 &gt; 가공식품 &gt; 음료/파우더/시럽 &gt; 시럽/파우더/농축액</v>
          </cell>
          <cell r="G387" t="str">
            <v>2023-06-07 17:17:08</v>
          </cell>
          <cell r="H387" t="str">
            <v/>
          </cell>
          <cell r="I387" t="str">
            <v>Y</v>
          </cell>
          <cell r="J387" t="str">
            <v>Y</v>
          </cell>
          <cell r="K387" t="str">
            <v>N</v>
          </cell>
          <cell r="L387" t="str">
            <v>할인율</v>
          </cell>
          <cell r="M387">
            <v>0</v>
          </cell>
          <cell r="N387" t="str">
            <v>Y</v>
          </cell>
          <cell r="O387" t="str">
            <v>해당없음</v>
          </cell>
          <cell r="P387" t="str">
            <v/>
          </cell>
          <cell r="Q387" t="str">
            <v>N</v>
          </cell>
          <cell r="R387">
            <v>510337</v>
          </cell>
        </row>
        <row r="388">
          <cell r="A388">
            <v>249643</v>
          </cell>
          <cell r="B388" t="str">
            <v>남양 커피믹스 루카스나인 더블샷라떼 30T 4개</v>
          </cell>
          <cell r="C388" t="str">
            <v>101070</v>
          </cell>
          <cell r="D388" t="str">
            <v>식품 &gt; 생수/음료/커피 &gt; 음료분말 &gt; 기타분말</v>
          </cell>
          <cell r="E388" t="str">
            <v>102803</v>
          </cell>
          <cell r="F388" t="str">
            <v>기본카테고리 &gt; 가공식품 &gt; 음료/파우더/시럽 &gt; 시럽/파우더/농축액</v>
          </cell>
          <cell r="G388" t="str">
            <v>2023-06-07 17:17:08</v>
          </cell>
          <cell r="H388" t="str">
            <v/>
          </cell>
          <cell r="I388" t="str">
            <v>Y</v>
          </cell>
          <cell r="J388" t="str">
            <v>Y</v>
          </cell>
          <cell r="K388" t="str">
            <v>N</v>
          </cell>
          <cell r="L388" t="str">
            <v>할인율</v>
          </cell>
          <cell r="M388">
            <v>0</v>
          </cell>
          <cell r="N388" t="str">
            <v>Y</v>
          </cell>
          <cell r="O388" t="str">
            <v>해당없음</v>
          </cell>
          <cell r="P388" t="str">
            <v/>
          </cell>
          <cell r="Q388" t="str">
            <v>N</v>
          </cell>
          <cell r="R388">
            <v>510336</v>
          </cell>
        </row>
        <row r="389">
          <cell r="A389">
            <v>249642</v>
          </cell>
          <cell r="B389" t="str">
            <v>남양 커피믹스 루카스나인 바닐라라떼 30T 4개</v>
          </cell>
          <cell r="C389" t="str">
            <v>101070</v>
          </cell>
          <cell r="D389" t="str">
            <v>식품 &gt; 생수/음료/커피 &gt; 음료분말 &gt; 기타분말</v>
          </cell>
          <cell r="E389" t="str">
            <v>102803</v>
          </cell>
          <cell r="F389" t="str">
            <v>기본카테고리 &gt; 가공식품 &gt; 음료/파우더/시럽 &gt; 시럽/파우더/농축액</v>
          </cell>
          <cell r="G389" t="str">
            <v>2023-06-07 17:17:08</v>
          </cell>
          <cell r="H389" t="str">
            <v/>
          </cell>
          <cell r="I389" t="str">
            <v>Y</v>
          </cell>
          <cell r="J389" t="str">
            <v>Y</v>
          </cell>
          <cell r="K389" t="str">
            <v>N</v>
          </cell>
          <cell r="L389" t="str">
            <v>할인율</v>
          </cell>
          <cell r="M389">
            <v>0</v>
          </cell>
          <cell r="N389" t="str">
            <v>Y</v>
          </cell>
          <cell r="O389" t="str">
            <v>해당없음</v>
          </cell>
          <cell r="P389" t="str">
            <v/>
          </cell>
          <cell r="Q389" t="str">
            <v>N</v>
          </cell>
          <cell r="R389">
            <v>510335</v>
          </cell>
        </row>
        <row r="390">
          <cell r="A390">
            <v>249641</v>
          </cell>
          <cell r="B390" t="str">
            <v>남양 프렌치카페 커피믹스 (180T+20T) 4개</v>
          </cell>
          <cell r="C390" t="str">
            <v>101070</v>
          </cell>
          <cell r="D390" t="str">
            <v>식품 &gt; 생수/음료/커피 &gt; 음료분말 &gt; 기타분말</v>
          </cell>
          <cell r="E390" t="str">
            <v>102803</v>
          </cell>
          <cell r="F390" t="str">
            <v>기본카테고리 &gt; 가공식품 &gt; 음료/파우더/시럽 &gt; 시럽/파우더/농축액</v>
          </cell>
          <cell r="G390" t="str">
            <v>2023-06-07 17:17:08</v>
          </cell>
          <cell r="H390" t="str">
            <v/>
          </cell>
          <cell r="I390" t="str">
            <v>Y</v>
          </cell>
          <cell r="J390" t="str">
            <v>Y</v>
          </cell>
          <cell r="K390" t="str">
            <v>N</v>
          </cell>
          <cell r="L390" t="str">
            <v>할인율</v>
          </cell>
          <cell r="M390">
            <v>0</v>
          </cell>
          <cell r="N390" t="str">
            <v>Y</v>
          </cell>
          <cell r="O390" t="str">
            <v>해당없음</v>
          </cell>
          <cell r="P390" t="str">
            <v/>
          </cell>
          <cell r="Q390" t="str">
            <v>N</v>
          </cell>
          <cell r="R390">
            <v>510334</v>
          </cell>
        </row>
        <row r="391">
          <cell r="A391">
            <v>249640</v>
          </cell>
          <cell r="B391" t="str">
            <v>맥심 모카골드(180T+20T) 4개</v>
          </cell>
          <cell r="C391" t="str">
            <v>115214</v>
          </cell>
          <cell r="D391" t="str">
            <v>식품 &gt; 생수/음료/커피 &gt; 커피 &gt; 커피믹스/인스턴트커피</v>
          </cell>
          <cell r="E391" t="str">
            <v>102801</v>
          </cell>
          <cell r="F391" t="str">
            <v>기본카테고리 &gt; 가공식품 &gt; 음료/파우더/시럽 &gt; 커피/원두</v>
          </cell>
          <cell r="G391" t="str">
            <v>2023-06-07 17:17:08</v>
          </cell>
          <cell r="H391" t="str">
            <v/>
          </cell>
          <cell r="I391" t="str">
            <v>Y</v>
          </cell>
          <cell r="J391" t="str">
            <v>Y</v>
          </cell>
          <cell r="K391" t="str">
            <v>N</v>
          </cell>
          <cell r="L391" t="str">
            <v>할인율</v>
          </cell>
          <cell r="M391">
            <v>0</v>
          </cell>
          <cell r="N391" t="str">
            <v>Y</v>
          </cell>
          <cell r="O391" t="str">
            <v>해당없음</v>
          </cell>
          <cell r="P391" t="str">
            <v/>
          </cell>
          <cell r="Q391" t="str">
            <v>N</v>
          </cell>
          <cell r="R391">
            <v>510333</v>
          </cell>
        </row>
        <row r="392">
          <cell r="A392">
            <v>249638</v>
          </cell>
          <cell r="B392" t="str">
            <v>팔도 왕뚜껑 컵라면 110g 18개</v>
          </cell>
          <cell r="C392" t="str">
            <v>100486</v>
          </cell>
          <cell r="D392" t="str">
            <v>식품 &gt; 상온가공식품 &gt; 면류/라면류 &gt; 라면 &gt; 컵라면 &gt; 일반컵라면</v>
          </cell>
          <cell r="E392" t="str">
            <v>102863</v>
          </cell>
          <cell r="F392" t="str">
            <v>기본카테고리 &gt; 가공식품 &gt; 밥/면/가공식품 &gt; 당면/국수/파스타/냉면</v>
          </cell>
          <cell r="G392" t="str">
            <v>2023-06-07 17:17:08</v>
          </cell>
          <cell r="H392" t="str">
            <v/>
          </cell>
          <cell r="I392" t="str">
            <v>Y</v>
          </cell>
          <cell r="J392" t="str">
            <v>Y</v>
          </cell>
          <cell r="K392" t="str">
            <v>N</v>
          </cell>
          <cell r="L392" t="str">
            <v>할인율</v>
          </cell>
          <cell r="M392">
            <v>0</v>
          </cell>
          <cell r="N392" t="str">
            <v>Y</v>
          </cell>
          <cell r="O392" t="str">
            <v>해당없음</v>
          </cell>
          <cell r="P392" t="str">
            <v/>
          </cell>
          <cell r="Q392" t="str">
            <v>N</v>
          </cell>
          <cell r="R392">
            <v>510331</v>
          </cell>
        </row>
        <row r="393">
          <cell r="A393">
            <v>249636</v>
          </cell>
          <cell r="B393" t="str">
            <v>팔도 짬뽕왕뚜껑 110g 18개</v>
          </cell>
          <cell r="C393" t="str">
            <v>100486</v>
          </cell>
          <cell r="D393" t="str">
            <v>식품 &gt; 상온가공식품 &gt; 면류/라면류 &gt; 라면 &gt; 컵라면 &gt; 일반컵라면</v>
          </cell>
          <cell r="E393" t="str">
            <v>102863</v>
          </cell>
          <cell r="F393" t="str">
            <v>기본카테고리 &gt; 가공식품 &gt; 밥/면/가공식품 &gt; 당면/국수/파스타/냉면</v>
          </cell>
          <cell r="G393" t="str">
            <v>2023-06-07 17:17:08</v>
          </cell>
          <cell r="H393" t="str">
            <v/>
          </cell>
          <cell r="I393" t="str">
            <v>Y</v>
          </cell>
          <cell r="J393" t="str">
            <v>Y</v>
          </cell>
          <cell r="K393" t="str">
            <v>N</v>
          </cell>
          <cell r="L393" t="str">
            <v>할인율</v>
          </cell>
          <cell r="M393">
            <v>0</v>
          </cell>
          <cell r="N393" t="str">
            <v>Y</v>
          </cell>
          <cell r="O393" t="str">
            <v>해당없음</v>
          </cell>
          <cell r="P393" t="str">
            <v/>
          </cell>
          <cell r="Q393" t="str">
            <v>N</v>
          </cell>
          <cell r="R393">
            <v>510329</v>
          </cell>
        </row>
        <row r="394">
          <cell r="A394">
            <v>249634</v>
          </cell>
          <cell r="B394" t="str">
            <v>오뚜기 진라면 순한맛 멀티팩(5개입) 8개</v>
          </cell>
          <cell r="C394" t="str">
            <v>100481</v>
          </cell>
          <cell r="D394" t="str">
            <v>식품 &gt; 상온가공식품 &gt; 면류/라면류 &gt; 라면 &gt; 봉지라면 &gt; 일반라면</v>
          </cell>
          <cell r="E394" t="str">
            <v>102863</v>
          </cell>
          <cell r="F394" t="str">
            <v>기본카테고리 &gt; 가공식품 &gt; 밥/면/가공식품 &gt; 당면/국수/파스타/냉면</v>
          </cell>
          <cell r="G394" t="str">
            <v>2023-06-07 17:17:08</v>
          </cell>
          <cell r="H394" t="str">
            <v/>
          </cell>
          <cell r="I394" t="str">
            <v>Y</v>
          </cell>
          <cell r="J394" t="str">
            <v>Y</v>
          </cell>
          <cell r="K394" t="str">
            <v>N</v>
          </cell>
          <cell r="L394" t="str">
            <v>할인율</v>
          </cell>
          <cell r="M394">
            <v>0</v>
          </cell>
          <cell r="N394" t="str">
            <v>Y</v>
          </cell>
          <cell r="O394" t="str">
            <v>해당없음</v>
          </cell>
          <cell r="P394" t="str">
            <v/>
          </cell>
          <cell r="Q394" t="str">
            <v>N</v>
          </cell>
          <cell r="R394">
            <v>510327</v>
          </cell>
        </row>
        <row r="395">
          <cell r="A395">
            <v>249633</v>
          </cell>
          <cell r="B395" t="str">
            <v>오뚜기 진라면 매운맛 멀티팩(5개입) 8개</v>
          </cell>
          <cell r="C395" t="str">
            <v>100481</v>
          </cell>
          <cell r="D395" t="str">
            <v>식품 &gt; 상온가공식품 &gt; 면류/라면류 &gt; 라면 &gt; 봉지라면 &gt; 일반라면</v>
          </cell>
          <cell r="E395" t="str">
            <v>102863</v>
          </cell>
          <cell r="F395" t="str">
            <v>기본카테고리 &gt; 가공식품 &gt; 밥/면/가공식품 &gt; 당면/국수/파스타/냉면</v>
          </cell>
          <cell r="G395" t="str">
            <v>2023-06-07 17:17:08</v>
          </cell>
          <cell r="H395" t="str">
            <v/>
          </cell>
          <cell r="I395" t="str">
            <v>Y</v>
          </cell>
          <cell r="J395" t="str">
            <v>Y</v>
          </cell>
          <cell r="K395" t="str">
            <v>N</v>
          </cell>
          <cell r="L395" t="str">
            <v>할인율</v>
          </cell>
          <cell r="M395">
            <v>0</v>
          </cell>
          <cell r="N395" t="str">
            <v>Y</v>
          </cell>
          <cell r="O395" t="str">
            <v>해당없음</v>
          </cell>
          <cell r="P395" t="str">
            <v/>
          </cell>
          <cell r="Q395" t="str">
            <v>N</v>
          </cell>
          <cell r="R395">
            <v>510326</v>
          </cell>
        </row>
        <row r="396">
          <cell r="A396">
            <v>249630</v>
          </cell>
          <cell r="B396" t="str">
            <v>농심 신라면 멀티팩(5개입) 8개</v>
          </cell>
          <cell r="C396" t="str">
            <v>100481</v>
          </cell>
          <cell r="D396" t="str">
            <v>식품 &gt; 상온가공식품 &gt; 면류/라면류 &gt; 라면 &gt; 봉지라면 &gt; 일반라면</v>
          </cell>
          <cell r="E396" t="str">
            <v>102863</v>
          </cell>
          <cell r="F396" t="str">
            <v>기본카테고리 &gt; 가공식품 &gt; 밥/면/가공식품 &gt; 당면/국수/파스타/냉면</v>
          </cell>
          <cell r="G396" t="str">
            <v>2023-06-07 17:17:08</v>
          </cell>
          <cell r="H396" t="str">
            <v/>
          </cell>
          <cell r="I396" t="str">
            <v>Y</v>
          </cell>
          <cell r="J396" t="str">
            <v>Y</v>
          </cell>
          <cell r="K396" t="str">
            <v>N</v>
          </cell>
          <cell r="L396" t="str">
            <v>할인율</v>
          </cell>
          <cell r="M396">
            <v>0</v>
          </cell>
          <cell r="N396" t="str">
            <v>Y</v>
          </cell>
          <cell r="O396" t="str">
            <v>해당없음</v>
          </cell>
          <cell r="P396" t="str">
            <v/>
          </cell>
          <cell r="Q396" t="str">
            <v>N</v>
          </cell>
          <cell r="R396">
            <v>510323</v>
          </cell>
        </row>
        <row r="397">
          <cell r="A397">
            <v>249627</v>
          </cell>
          <cell r="B397" t="str">
            <v>팔도 비빔면 멀티팩(5개입) 8개</v>
          </cell>
          <cell r="C397" t="str">
            <v>100482</v>
          </cell>
          <cell r="D397" t="str">
            <v>식품 &gt; 상온가공식품 &gt; 면류/라면류 &gt; 라면 &gt; 봉지라면 &gt; 볶음/비빔라면</v>
          </cell>
          <cell r="E397" t="str">
            <v>102863</v>
          </cell>
          <cell r="F397" t="str">
            <v>기본카테고리 &gt; 가공식품 &gt; 밥/면/가공식품 &gt; 당면/국수/파스타/냉면</v>
          </cell>
          <cell r="G397" t="str">
            <v>2023-06-07 17:17:08</v>
          </cell>
          <cell r="H397" t="str">
            <v/>
          </cell>
          <cell r="I397" t="str">
            <v>Y</v>
          </cell>
          <cell r="J397" t="str">
            <v>Y</v>
          </cell>
          <cell r="K397" t="str">
            <v>N</v>
          </cell>
          <cell r="L397" t="str">
            <v>할인율</v>
          </cell>
          <cell r="M397">
            <v>0</v>
          </cell>
          <cell r="N397" t="str">
            <v>Y</v>
          </cell>
          <cell r="O397" t="str">
            <v>해당없음</v>
          </cell>
          <cell r="P397" t="str">
            <v/>
          </cell>
          <cell r="Q397" t="str">
            <v>N</v>
          </cell>
          <cell r="R397">
            <v>510320</v>
          </cell>
        </row>
        <row r="398">
          <cell r="A398">
            <v>249625</v>
          </cell>
          <cell r="B398" t="str">
            <v>남양 맛있는 두유 GT 검은콩깨 190ml 24개</v>
          </cell>
          <cell r="C398" t="str">
            <v>115211</v>
          </cell>
          <cell r="D398" t="str">
            <v>식품 &gt; 생수/음료/커피 &gt; 음료 &gt; 두유</v>
          </cell>
          <cell r="E398" t="str">
            <v>102802</v>
          </cell>
          <cell r="F398" t="str">
            <v>기본카테고리 &gt; 가공식품 &gt; 음료/파우더/시럽 &gt; 탄산음료/기타음료</v>
          </cell>
          <cell r="G398" t="str">
            <v>2023-06-07 17:17:08</v>
          </cell>
          <cell r="H398" t="str">
            <v/>
          </cell>
          <cell r="I398" t="str">
            <v>Y</v>
          </cell>
          <cell r="J398" t="str">
            <v>Y</v>
          </cell>
          <cell r="K398" t="str">
            <v>N</v>
          </cell>
          <cell r="L398" t="str">
            <v>할인율</v>
          </cell>
          <cell r="M398">
            <v>0</v>
          </cell>
          <cell r="N398" t="str">
            <v>Y</v>
          </cell>
          <cell r="O398" t="str">
            <v>해당없음</v>
          </cell>
          <cell r="P398" t="str">
            <v/>
          </cell>
          <cell r="Q398" t="str">
            <v>N</v>
          </cell>
          <cell r="R398">
            <v>510318</v>
          </cell>
        </row>
        <row r="399">
          <cell r="A399">
            <v>249623</v>
          </cell>
          <cell r="B399" t="str">
            <v>남양 맛있는 두유GT검은콩깨 200ml 병 (10개입) 3세트 총 30개</v>
          </cell>
          <cell r="C399" t="str">
            <v>115211</v>
          </cell>
          <cell r="D399" t="str">
            <v>식품 &gt; 생수/음료/커피 &gt; 음료 &gt; 두유</v>
          </cell>
          <cell r="E399" t="str">
            <v>102802</v>
          </cell>
          <cell r="F399" t="str">
            <v>기본카테고리 &gt; 가공식품 &gt; 음료/파우더/시럽 &gt; 탄산음료/기타음료</v>
          </cell>
          <cell r="G399" t="str">
            <v>2023-06-07 17:17:08</v>
          </cell>
          <cell r="H399" t="str">
            <v/>
          </cell>
          <cell r="I399" t="str">
            <v>Y</v>
          </cell>
          <cell r="J399" t="str">
            <v>Y</v>
          </cell>
          <cell r="K399" t="str">
            <v>N</v>
          </cell>
          <cell r="L399" t="str">
            <v>할인율</v>
          </cell>
          <cell r="M399">
            <v>0</v>
          </cell>
          <cell r="N399" t="str">
            <v>Y</v>
          </cell>
          <cell r="O399" t="str">
            <v>해당없음</v>
          </cell>
          <cell r="P399" t="str">
            <v/>
          </cell>
          <cell r="Q399" t="str">
            <v>N</v>
          </cell>
          <cell r="R399">
            <v>510316</v>
          </cell>
        </row>
        <row r="400">
          <cell r="A400">
            <v>249621</v>
          </cell>
          <cell r="B400" t="str">
            <v>CJ 비비고 사골곰탕 500g 18개</v>
          </cell>
          <cell r="C400" t="str">
            <v>100540</v>
          </cell>
          <cell r="D400" t="str">
            <v>식품 &gt; 상온가공식품 &gt; 즉석간편조리 &gt; 즉석국/탕 &gt; 즉석국/탕/찌개</v>
          </cell>
          <cell r="E400" t="str">
            <v>111989</v>
          </cell>
          <cell r="F400" t="str">
            <v>기본카테고리 &gt; 가공식품 &gt; 냉장/냉동/간편식 &gt; 국/탕/찌개</v>
          </cell>
          <cell r="G400" t="str">
            <v>2023-06-07 17:17:08</v>
          </cell>
          <cell r="H400" t="str">
            <v/>
          </cell>
          <cell r="I400" t="str">
            <v>Y</v>
          </cell>
          <cell r="J400" t="str">
            <v>Y</v>
          </cell>
          <cell r="K400" t="str">
            <v>N</v>
          </cell>
          <cell r="L400" t="str">
            <v>할인율</v>
          </cell>
          <cell r="M400">
            <v>0</v>
          </cell>
          <cell r="N400" t="str">
            <v>Y</v>
          </cell>
          <cell r="O400" t="str">
            <v>해당없음</v>
          </cell>
          <cell r="P400" t="str">
            <v/>
          </cell>
          <cell r="Q400" t="str">
            <v>N</v>
          </cell>
          <cell r="R400">
            <v>510314</v>
          </cell>
        </row>
        <row r="401">
          <cell r="A401">
            <v>249611</v>
          </cell>
          <cell r="B401" t="str">
            <v>동원 샘물 500ml 20개</v>
          </cell>
          <cell r="C401" t="str">
            <v>100976</v>
          </cell>
          <cell r="D401" t="str">
            <v>식품 &gt; 생수/음료/커피 &gt; 생수/탄산수 &gt; 생수</v>
          </cell>
          <cell r="E401" t="str">
            <v>102802</v>
          </cell>
          <cell r="F401" t="str">
            <v>기본카테고리 &gt; 가공식품 &gt; 음료/파우더/시럽 &gt; 탄산음료/기타음료</v>
          </cell>
          <cell r="G401" t="str">
            <v>2023-06-07 17:17:08</v>
          </cell>
          <cell r="H401" t="str">
            <v/>
          </cell>
          <cell r="I401" t="str">
            <v>Y</v>
          </cell>
          <cell r="J401" t="str">
            <v>Y</v>
          </cell>
          <cell r="K401" t="str">
            <v>N</v>
          </cell>
          <cell r="L401" t="str">
            <v>할인율</v>
          </cell>
          <cell r="M401">
            <v>0</v>
          </cell>
          <cell r="N401" t="str">
            <v>Y</v>
          </cell>
          <cell r="O401" t="str">
            <v>해당없음</v>
          </cell>
          <cell r="P401" t="str">
            <v/>
          </cell>
          <cell r="Q401" t="str">
            <v>N</v>
          </cell>
          <cell r="R401">
            <v>510304</v>
          </cell>
        </row>
        <row r="402">
          <cell r="A402">
            <v>249610</v>
          </cell>
          <cell r="B402" t="str">
            <v>동원 샘물2L 6개</v>
          </cell>
          <cell r="C402" t="str">
            <v>100976</v>
          </cell>
          <cell r="D402" t="str">
            <v>식품 &gt; 생수/음료/커피 &gt; 생수/탄산수 &gt; 생수</v>
          </cell>
          <cell r="E402" t="str">
            <v>102802</v>
          </cell>
          <cell r="F402" t="str">
            <v>기본카테고리 &gt; 가공식품 &gt; 음료/파우더/시럽 &gt; 탄산음료/기타음료</v>
          </cell>
          <cell r="G402" t="str">
            <v>2023-06-07 17:17:08</v>
          </cell>
          <cell r="H402" t="str">
            <v/>
          </cell>
          <cell r="I402" t="str">
            <v>Y</v>
          </cell>
          <cell r="J402" t="str">
            <v>Y</v>
          </cell>
          <cell r="K402" t="str">
            <v>N</v>
          </cell>
          <cell r="L402" t="str">
            <v>할인율</v>
          </cell>
          <cell r="M402">
            <v>0</v>
          </cell>
          <cell r="N402" t="str">
            <v>Y</v>
          </cell>
          <cell r="O402" t="str">
            <v>해당없음</v>
          </cell>
          <cell r="P402" t="str">
            <v/>
          </cell>
          <cell r="Q402" t="str">
            <v>N</v>
          </cell>
          <cell r="R402">
            <v>510303</v>
          </cell>
        </row>
        <row r="403">
          <cell r="A403">
            <v>249608</v>
          </cell>
          <cell r="B403" t="str">
            <v>몽베스트 330ml 20개</v>
          </cell>
          <cell r="C403" t="str">
            <v>100976</v>
          </cell>
          <cell r="D403" t="str">
            <v>식품 &gt; 생수/음료/커피 &gt; 생수/탄산수 &gt; 생수</v>
          </cell>
          <cell r="E403" t="str">
            <v>102802</v>
          </cell>
          <cell r="F403" t="str">
            <v>기본카테고리 &gt; 가공식품 &gt; 음료/파우더/시럽 &gt; 탄산음료/기타음료</v>
          </cell>
          <cell r="G403" t="str">
            <v>2023-06-07 17:17:08</v>
          </cell>
          <cell r="H403" t="str">
            <v/>
          </cell>
          <cell r="I403" t="str">
            <v>Y</v>
          </cell>
          <cell r="J403" t="str">
            <v>Y</v>
          </cell>
          <cell r="K403" t="str">
            <v>N</v>
          </cell>
          <cell r="L403" t="str">
            <v>할인율</v>
          </cell>
          <cell r="M403">
            <v>0</v>
          </cell>
          <cell r="N403" t="str">
            <v>Y</v>
          </cell>
          <cell r="O403" t="str">
            <v>해당없음</v>
          </cell>
          <cell r="P403" t="str">
            <v/>
          </cell>
          <cell r="Q403" t="str">
            <v>N</v>
          </cell>
          <cell r="R403">
            <v>510301</v>
          </cell>
        </row>
        <row r="404">
          <cell r="A404">
            <v>249607</v>
          </cell>
          <cell r="B404" t="str">
            <v>몽베스트 1L 12개</v>
          </cell>
          <cell r="C404" t="str">
            <v>100976</v>
          </cell>
          <cell r="D404" t="str">
            <v>식품 &gt; 생수/음료/커피 &gt; 생수/탄산수 &gt; 생수</v>
          </cell>
          <cell r="E404" t="str">
            <v>102802</v>
          </cell>
          <cell r="F404" t="str">
            <v>기본카테고리 &gt; 가공식품 &gt; 음료/파우더/시럽 &gt; 탄산음료/기타음료</v>
          </cell>
          <cell r="G404" t="str">
            <v>2023-06-07 17:17:08</v>
          </cell>
          <cell r="H404" t="str">
            <v/>
          </cell>
          <cell r="I404" t="str">
            <v>Y</v>
          </cell>
          <cell r="J404" t="str">
            <v>Y</v>
          </cell>
          <cell r="K404" t="str">
            <v>N</v>
          </cell>
          <cell r="L404" t="str">
            <v>할인율</v>
          </cell>
          <cell r="M404">
            <v>0</v>
          </cell>
          <cell r="N404" t="str">
            <v>Y</v>
          </cell>
          <cell r="O404" t="str">
            <v>해당없음</v>
          </cell>
          <cell r="P404" t="str">
            <v/>
          </cell>
          <cell r="Q404" t="str">
            <v>N</v>
          </cell>
          <cell r="R404">
            <v>510300</v>
          </cell>
        </row>
        <row r="405">
          <cell r="A405">
            <v>249605</v>
          </cell>
          <cell r="B405" t="str">
            <v>광동 제주삼다수 500ml 20개</v>
          </cell>
          <cell r="C405" t="str">
            <v>100976</v>
          </cell>
          <cell r="D405" t="str">
            <v>식품 &gt; 생수/음료/커피 &gt; 생수/탄산수 &gt; 생수</v>
          </cell>
          <cell r="E405" t="str">
            <v>102802</v>
          </cell>
          <cell r="F405" t="str">
            <v>기본카테고리 &gt; 가공식품 &gt; 음료/파우더/시럽 &gt; 탄산음료/기타음료</v>
          </cell>
          <cell r="G405" t="str">
            <v>2023-06-07 17:17:08</v>
          </cell>
          <cell r="H405" t="str">
            <v/>
          </cell>
          <cell r="I405" t="str">
            <v>Y</v>
          </cell>
          <cell r="J405" t="str">
            <v>Y</v>
          </cell>
          <cell r="K405" t="str">
            <v>N</v>
          </cell>
          <cell r="L405" t="str">
            <v>할인율</v>
          </cell>
          <cell r="M405">
            <v>0</v>
          </cell>
          <cell r="N405" t="str">
            <v>Y</v>
          </cell>
          <cell r="O405" t="str">
            <v>해당없음</v>
          </cell>
          <cell r="P405" t="str">
            <v/>
          </cell>
          <cell r="Q405" t="str">
            <v>N</v>
          </cell>
          <cell r="R405">
            <v>510298</v>
          </cell>
        </row>
        <row r="406">
          <cell r="A406">
            <v>249604</v>
          </cell>
          <cell r="B406" t="str">
            <v>광동 제주삼다수2L 6개</v>
          </cell>
          <cell r="C406" t="str">
            <v>100976</v>
          </cell>
          <cell r="D406" t="str">
            <v>식품 &gt; 생수/음료/커피 &gt; 생수/탄산수 &gt; 생수</v>
          </cell>
          <cell r="E406" t="str">
            <v>102802</v>
          </cell>
          <cell r="F406" t="str">
            <v>기본카테고리 &gt; 가공식품 &gt; 음료/파우더/시럽 &gt; 탄산음료/기타음료</v>
          </cell>
          <cell r="G406" t="str">
            <v>2023-06-07 17:17:08</v>
          </cell>
          <cell r="H406" t="str">
            <v/>
          </cell>
          <cell r="I406" t="str">
            <v>Y</v>
          </cell>
          <cell r="J406" t="str">
            <v>Y</v>
          </cell>
          <cell r="K406" t="str">
            <v>N</v>
          </cell>
          <cell r="L406" t="str">
            <v>할인율</v>
          </cell>
          <cell r="M406">
            <v>0</v>
          </cell>
          <cell r="N406" t="str">
            <v>Y</v>
          </cell>
          <cell r="O406" t="str">
            <v>해당없음</v>
          </cell>
          <cell r="P406" t="str">
            <v/>
          </cell>
          <cell r="Q406" t="str">
            <v>N</v>
          </cell>
          <cell r="R406">
            <v>510297</v>
          </cell>
        </row>
      </sheetData>
      <sheetData sheetId="13"/>
      <sheetData sheetId="14">
        <row r="2">
          <cell r="B2" t="str">
            <v>참맑은 cool사이다 175ml 30개</v>
          </cell>
          <cell r="D2" t="str">
            <v>35-18-03</v>
          </cell>
          <cell r="E2">
            <v>14100</v>
          </cell>
          <cell r="F2">
            <v>8100</v>
          </cell>
          <cell r="I2">
            <v>15200</v>
          </cell>
          <cell r="J2">
            <v>9200</v>
          </cell>
        </row>
        <row r="3">
          <cell r="B3" t="str">
            <v>참맑은 유자 175ml 30개</v>
          </cell>
          <cell r="D3" t="str">
            <v>35-18-06</v>
          </cell>
          <cell r="E3">
            <v>14000</v>
          </cell>
          <cell r="F3">
            <v>8000</v>
          </cell>
          <cell r="I3">
            <v>15500</v>
          </cell>
          <cell r="J3">
            <v>9500</v>
          </cell>
        </row>
        <row r="4">
          <cell r="B4" t="str">
            <v>참맑은 식혜 175ml 30개</v>
          </cell>
          <cell r="D4" t="str">
            <v>35-07</v>
          </cell>
          <cell r="E4">
            <v>13500</v>
          </cell>
          <cell r="F4">
            <v>7500</v>
          </cell>
          <cell r="I4">
            <v>14600</v>
          </cell>
          <cell r="J4">
            <v>8600</v>
          </cell>
        </row>
        <row r="5">
          <cell r="B5" t="str">
            <v>참맑은 보성녹차 캔 175ml 30개</v>
          </cell>
          <cell r="D5" t="str">
            <v>35-02</v>
          </cell>
          <cell r="E5">
            <v>12300</v>
          </cell>
          <cell r="F5">
            <v>6300</v>
          </cell>
          <cell r="I5">
            <v>13300</v>
          </cell>
          <cell r="J5">
            <v>7300</v>
          </cell>
        </row>
        <row r="6">
          <cell r="B6" t="str">
            <v>참맑은 비타엔 캔 175ml 30개</v>
          </cell>
          <cell r="D6" t="str">
            <v>35-27-02</v>
          </cell>
          <cell r="E6">
            <v>13500</v>
          </cell>
          <cell r="F6">
            <v>7500</v>
          </cell>
          <cell r="I6">
            <v>14800</v>
          </cell>
          <cell r="J6">
            <v>8800</v>
          </cell>
        </row>
        <row r="7">
          <cell r="B7" t="str">
            <v>참맑은 홍차 175ml 30개</v>
          </cell>
          <cell r="D7" t="str">
            <v>35-05</v>
          </cell>
          <cell r="E7">
            <v>13000</v>
          </cell>
          <cell r="F7">
            <v>7000</v>
          </cell>
          <cell r="I7">
            <v>13900</v>
          </cell>
          <cell r="J7">
            <v>7900</v>
          </cell>
        </row>
        <row r="8">
          <cell r="B8" t="str">
            <v>참맑은 토마토 175ml 30개</v>
          </cell>
          <cell r="D8" t="str">
            <v>35-18-05</v>
          </cell>
          <cell r="E8">
            <v>13700</v>
          </cell>
          <cell r="F8">
            <v>7700</v>
          </cell>
          <cell r="I8">
            <v>14800</v>
          </cell>
          <cell r="J8">
            <v>8800</v>
          </cell>
        </row>
        <row r="9">
          <cell r="B9" t="str">
            <v>참맑은 복분자 175ml 30개</v>
          </cell>
          <cell r="D9" t="str">
            <v>35-14</v>
          </cell>
          <cell r="E9">
            <v>13700</v>
          </cell>
          <cell r="F9">
            <v>7700</v>
          </cell>
          <cell r="I9">
            <v>14900</v>
          </cell>
          <cell r="J9">
            <v>8900</v>
          </cell>
        </row>
        <row r="10">
          <cell r="B10" t="str">
            <v>참맑은 비스카페라떼 175ml 30개</v>
          </cell>
          <cell r="D10" t="str">
            <v>35-18-10</v>
          </cell>
          <cell r="E10">
            <v>14500</v>
          </cell>
          <cell r="F10">
            <v>8500</v>
          </cell>
          <cell r="I10">
            <v>15600</v>
          </cell>
          <cell r="J10">
            <v>9600</v>
          </cell>
        </row>
        <row r="11">
          <cell r="B11" t="str">
            <v>참맑은 사과 175ml 30개</v>
          </cell>
          <cell r="D11" t="str">
            <v>35-18-07</v>
          </cell>
          <cell r="E11">
            <v>13700</v>
          </cell>
          <cell r="F11">
            <v>7700</v>
          </cell>
          <cell r="I11">
            <v>15000</v>
          </cell>
          <cell r="J11">
            <v>9000</v>
          </cell>
        </row>
        <row r="12">
          <cell r="B12" t="str">
            <v>참맑은 배 175ml 30개</v>
          </cell>
          <cell r="D12" t="str">
            <v>35-18-08</v>
          </cell>
          <cell r="E12">
            <v>14200</v>
          </cell>
          <cell r="F12">
            <v>8200</v>
          </cell>
          <cell r="I12">
            <v>15600</v>
          </cell>
          <cell r="J12">
            <v>9600</v>
          </cell>
        </row>
        <row r="13">
          <cell r="B13" t="str">
            <v>참맑은 머스캣 175ml 30개</v>
          </cell>
          <cell r="D13" t="str">
            <v>35-18-09</v>
          </cell>
          <cell r="E13">
            <v>13600</v>
          </cell>
          <cell r="F13">
            <v>7600</v>
          </cell>
          <cell r="I13">
            <v>14800</v>
          </cell>
          <cell r="J13">
            <v>8800</v>
          </cell>
        </row>
        <row r="14">
          <cell r="B14" t="str">
            <v>참맑은 알로에 175ml 30개</v>
          </cell>
          <cell r="D14" t="str">
            <v>52-55.</v>
          </cell>
          <cell r="E14">
            <v>13700</v>
          </cell>
          <cell r="F14">
            <v>7700</v>
          </cell>
          <cell r="I14">
            <v>14800</v>
          </cell>
          <cell r="J14">
            <v>8800</v>
          </cell>
        </row>
        <row r="15">
          <cell r="B15" t="str">
            <v>참맑은 망고 캔 175ml 30개</v>
          </cell>
          <cell r="D15" t="str">
            <v>35-10</v>
          </cell>
          <cell r="E15">
            <v>13300</v>
          </cell>
          <cell r="F15">
            <v>7300</v>
          </cell>
          <cell r="I15">
            <v>14500</v>
          </cell>
          <cell r="J15">
            <v>8500</v>
          </cell>
        </row>
        <row r="16">
          <cell r="B16" t="str">
            <v>참맑은 파인애플 캔 175ml 30개</v>
          </cell>
          <cell r="D16" t="str">
            <v>35-16-02</v>
          </cell>
          <cell r="E16">
            <v>13200</v>
          </cell>
          <cell r="F16">
            <v>7200</v>
          </cell>
          <cell r="I16">
            <v>14400</v>
          </cell>
          <cell r="J16">
            <v>8400</v>
          </cell>
        </row>
        <row r="17">
          <cell r="B17" t="str">
            <v>참맑은 매실 캔 175ml 30개</v>
          </cell>
          <cell r="D17" t="str">
            <v>35-27-01</v>
          </cell>
          <cell r="E17">
            <v>13300</v>
          </cell>
          <cell r="F17">
            <v>7300</v>
          </cell>
          <cell r="I17">
            <v>14600</v>
          </cell>
          <cell r="J17">
            <v>8600</v>
          </cell>
        </row>
        <row r="18">
          <cell r="B18" t="str">
            <v>참맑은 참대추 175ml 30개</v>
          </cell>
          <cell r="D18" t="str">
            <v>35-16</v>
          </cell>
          <cell r="E18">
            <v>13800</v>
          </cell>
          <cell r="F18">
            <v>7800</v>
          </cell>
          <cell r="I18">
            <v>14800</v>
          </cell>
          <cell r="J18">
            <v>8800</v>
          </cell>
        </row>
        <row r="19">
          <cell r="B19" t="str">
            <v>참맑은 제주감귤 캔 175ml 30개</v>
          </cell>
          <cell r="D19" t="str">
            <v>35-16-01</v>
          </cell>
          <cell r="E19">
            <v>13300</v>
          </cell>
          <cell r="F19">
            <v>7300</v>
          </cell>
          <cell r="I19">
            <v>14600</v>
          </cell>
          <cell r="J19">
            <v>8600</v>
          </cell>
        </row>
        <row r="20">
          <cell r="B20" t="str">
            <v>참맑은 벌꿀 캔175ml 30개</v>
          </cell>
          <cell r="D20" t="str">
            <v>35-08</v>
          </cell>
          <cell r="E20">
            <v>13700</v>
          </cell>
          <cell r="F20">
            <v>7700</v>
          </cell>
          <cell r="I20">
            <v>15200</v>
          </cell>
          <cell r="J20">
            <v>9200</v>
          </cell>
        </row>
        <row r="21">
          <cell r="B21" t="str">
            <v>참맑은 복숭아 캔 175ml 30개</v>
          </cell>
          <cell r="D21" t="str">
            <v>35-27</v>
          </cell>
          <cell r="E21">
            <v>13500</v>
          </cell>
          <cell r="F21">
            <v>7500</v>
          </cell>
          <cell r="I21">
            <v>14900</v>
          </cell>
          <cell r="J21">
            <v>8900</v>
          </cell>
        </row>
        <row r="22">
          <cell r="B22" t="str">
            <v>참맑은 헛개차 175ml  30캔</v>
          </cell>
          <cell r="D22" t="str">
            <v>35-06</v>
          </cell>
          <cell r="E22">
            <v>12700</v>
          </cell>
          <cell r="F22">
            <v>6700</v>
          </cell>
          <cell r="I22">
            <v>13600</v>
          </cell>
          <cell r="J22">
            <v>7600</v>
          </cell>
        </row>
        <row r="23">
          <cell r="B23" t="str">
            <v>현대약품 비타업 100ml 100개</v>
          </cell>
          <cell r="D23" t="str">
            <v>28-13-05</v>
          </cell>
          <cell r="E23">
            <v>35600</v>
          </cell>
          <cell r="F23">
            <v>29600</v>
          </cell>
          <cell r="I23">
            <v>40000</v>
          </cell>
          <cell r="J23">
            <v>34000</v>
          </cell>
        </row>
        <row r="24">
          <cell r="B24" t="str">
            <v>칠성 사이다 제로 250ml 30캔</v>
          </cell>
          <cell r="D24" t="str">
            <v>27-01-05</v>
          </cell>
          <cell r="E24">
            <v>28300</v>
          </cell>
          <cell r="F24">
            <v>22300</v>
          </cell>
          <cell r="I24">
            <v>29000</v>
          </cell>
          <cell r="J24">
            <v>23000</v>
          </cell>
        </row>
        <row r="25">
          <cell r="B25" t="str">
            <v>HC 강구나루 고등어 400g 24개</v>
          </cell>
          <cell r="D25" t="str">
            <v>14-13</v>
          </cell>
          <cell r="E25">
            <v>46200</v>
          </cell>
          <cell r="F25">
            <v>40200</v>
          </cell>
          <cell r="I25">
            <v>50600</v>
          </cell>
          <cell r="J25">
            <v>44600</v>
          </cell>
        </row>
        <row r="26">
          <cell r="B26" t="str">
            <v>일화 맥콜 500ml 20개</v>
          </cell>
          <cell r="D26" t="str">
            <v>29-03</v>
          </cell>
          <cell r="E26">
            <v>23900</v>
          </cell>
          <cell r="F26">
            <v>17900</v>
          </cell>
          <cell r="I26">
            <v>24500</v>
          </cell>
          <cell r="J26">
            <v>18500</v>
          </cell>
        </row>
        <row r="27">
          <cell r="B27" t="str">
            <v>참맑은 옥수수 수염차 175ml 30캔</v>
          </cell>
          <cell r="D27" t="str">
            <v>35-01</v>
          </cell>
          <cell r="E27">
            <v>12900</v>
          </cell>
          <cell r="F27">
            <v>6900</v>
          </cell>
          <cell r="I27">
            <v>13600</v>
          </cell>
          <cell r="J27">
            <v>7600</v>
          </cell>
        </row>
        <row r="28">
          <cell r="B28" t="str">
            <v>델몬트 파인애플 통조림 836g 24개</v>
          </cell>
          <cell r="D28" t="str">
            <v>17-01</v>
          </cell>
          <cell r="E28">
            <v>96700</v>
          </cell>
          <cell r="F28">
            <v>90700</v>
          </cell>
          <cell r="I28">
            <v>102400</v>
          </cell>
          <cell r="J28">
            <v>96400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60435-CB7D-49C8-8F7E-A0195B941DE8}">
  <sheetPr codeName="Sheet8"/>
  <dimension ref="A1:M28"/>
  <sheetViews>
    <sheetView tabSelected="1" workbookViewId="0">
      <selection activeCell="F36" sqref="F36"/>
    </sheetView>
  </sheetViews>
  <sheetFormatPr defaultRowHeight="12.75"/>
  <cols>
    <col min="2" max="2" width="35.75" bestFit="1" customWidth="1"/>
    <col min="3" max="3" width="8" bestFit="1" customWidth="1"/>
    <col min="4" max="4" width="35.75" bestFit="1" customWidth="1"/>
    <col min="5" max="5" width="27" bestFit="1" customWidth="1"/>
    <col min="7" max="7" width="11.875" bestFit="1" customWidth="1"/>
    <col min="8" max="8" width="17.25" bestFit="1" customWidth="1"/>
    <col min="9" max="9" width="10.125" bestFit="1" customWidth="1"/>
    <col min="10" max="10" width="15.375" bestFit="1" customWidth="1"/>
    <col min="13" max="13" width="21.5" bestFit="1" customWidth="1"/>
  </cols>
  <sheetData>
    <row r="1" spans="1:13" ht="13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1" t="s">
        <v>12</v>
      </c>
    </row>
    <row r="2" spans="1:13">
      <c r="A2" s="4">
        <f>[1]!표2[[#This Row],[번호]]</f>
        <v>249830</v>
      </c>
      <c r="B2" s="4" t="str">
        <f>'[1](배민)매크로파일'!B2</f>
        <v>참맑은 cool사이다 175ml 30개</v>
      </c>
      <c r="C2" s="4">
        <f>VLOOKUP(A2,'[1](배민)일괄수정'!A:R,18,FALSE)</f>
        <v>510523</v>
      </c>
      <c r="D2" s="4" t="str">
        <f>'[1](배민)매크로파일'!B2</f>
        <v>참맑은 cool사이다 175ml 30개</v>
      </c>
      <c r="E2" s="5" t="str">
        <f>'[1](배민)매크로파일'!D2</f>
        <v>35-18-03</v>
      </c>
      <c r="F2" s="4"/>
      <c r="G2" s="4">
        <f>'[1](배민)매크로파일'!E2</f>
        <v>14100</v>
      </c>
      <c r="H2" s="4">
        <f>'[1](배민)매크로파일'!I2</f>
        <v>15200</v>
      </c>
      <c r="I2" s="4">
        <f>'[1](배민)매크로파일'!F2</f>
        <v>8100</v>
      </c>
      <c r="J2" s="4">
        <f>'[1](배민)매크로파일'!J2</f>
        <v>9200</v>
      </c>
      <c r="K2" s="6"/>
      <c r="L2" s="7"/>
      <c r="M2" s="8" t="str">
        <f t="shared" ref="M2" si="0">IF(J2&gt;H2,"변경 판매가가 변경 소비자가보다 클 수 없습니다","")</f>
        <v/>
      </c>
    </row>
    <row r="3" spans="1:13">
      <c r="A3" s="4">
        <f>[1]!표2[[#This Row],[번호]]</f>
        <v>458502</v>
      </c>
      <c r="B3" s="4" t="str">
        <f>'[1](배민)매크로파일'!B3</f>
        <v>참맑은 유자 175ml 30개</v>
      </c>
      <c r="C3" s="4">
        <f>VLOOKUP(A3,'[1](배민)일괄수정'!A:R,18,FALSE)</f>
        <v>863406</v>
      </c>
      <c r="D3" s="4" t="str">
        <f>'[1](배민)매크로파일'!B3</f>
        <v>참맑은 유자 175ml 30개</v>
      </c>
      <c r="E3" s="5" t="str">
        <f>'[1](배민)매크로파일'!D3</f>
        <v>35-18-06</v>
      </c>
      <c r="F3" s="4"/>
      <c r="G3" s="4">
        <f>'[1](배민)매크로파일'!E3</f>
        <v>14000</v>
      </c>
      <c r="H3" s="4">
        <f>'[1](배민)매크로파일'!I3</f>
        <v>15500</v>
      </c>
      <c r="I3" s="4">
        <f>'[1](배민)매크로파일'!F3</f>
        <v>8000</v>
      </c>
      <c r="J3" s="4">
        <f>'[1](배민)매크로파일'!J3</f>
        <v>9500</v>
      </c>
    </row>
    <row r="4" spans="1:13">
      <c r="A4" s="4">
        <f>[1]!표2[[#This Row],[번호]]</f>
        <v>249889</v>
      </c>
      <c r="B4" s="4" t="str">
        <f>'[1](배민)매크로파일'!B4</f>
        <v>참맑은 식혜 175ml 30개</v>
      </c>
      <c r="C4" s="4">
        <f>VLOOKUP(A4,'[1](배민)일괄수정'!A:R,18,FALSE)</f>
        <v>510582</v>
      </c>
      <c r="D4" s="4" t="str">
        <f>'[1](배민)매크로파일'!B4</f>
        <v>참맑은 식혜 175ml 30개</v>
      </c>
      <c r="E4" s="5" t="str">
        <f>'[1](배민)매크로파일'!D4</f>
        <v>35-07</v>
      </c>
      <c r="F4" s="4"/>
      <c r="G4" s="4">
        <f>'[1](배민)매크로파일'!E4</f>
        <v>13500</v>
      </c>
      <c r="H4" s="4">
        <f>'[1](배민)매크로파일'!I4</f>
        <v>14600</v>
      </c>
      <c r="I4" s="4">
        <f>'[1](배민)매크로파일'!F4</f>
        <v>7500</v>
      </c>
      <c r="J4" s="4">
        <f>'[1](배민)매크로파일'!J4</f>
        <v>8600</v>
      </c>
    </row>
    <row r="5" spans="1:13">
      <c r="A5" s="4">
        <f>[1]!표2[[#This Row],[번호]]</f>
        <v>249842</v>
      </c>
      <c r="B5" s="4" t="str">
        <f>'[1](배민)매크로파일'!B5</f>
        <v>참맑은 보성녹차 캔 175ml 30개</v>
      </c>
      <c r="C5" s="4">
        <f>VLOOKUP(A5,'[1](배민)일괄수정'!A:R,18,FALSE)</f>
        <v>510535</v>
      </c>
      <c r="D5" s="4" t="str">
        <f>'[1](배민)매크로파일'!B5</f>
        <v>참맑은 보성녹차 캔 175ml 30개</v>
      </c>
      <c r="E5" s="5" t="str">
        <f>'[1](배민)매크로파일'!D5</f>
        <v>35-02</v>
      </c>
      <c r="F5" s="4"/>
      <c r="G5" s="4">
        <f>'[1](배민)매크로파일'!E5</f>
        <v>12300</v>
      </c>
      <c r="H5" s="4">
        <f>'[1](배민)매크로파일'!I5</f>
        <v>13300</v>
      </c>
      <c r="I5" s="4">
        <f>'[1](배민)매크로파일'!F5</f>
        <v>6300</v>
      </c>
      <c r="J5" s="4">
        <f>'[1](배민)매크로파일'!J5</f>
        <v>7300</v>
      </c>
    </row>
    <row r="6" spans="1:13">
      <c r="A6" s="4">
        <f>[1]!표2[[#This Row],[번호]]</f>
        <v>249759</v>
      </c>
      <c r="B6" s="4" t="str">
        <f>'[1](배민)매크로파일'!B6</f>
        <v>참맑은 비타엔 캔 175ml 30개</v>
      </c>
      <c r="C6" s="4">
        <f>VLOOKUP(A6,'[1](배민)일괄수정'!A:R,18,FALSE)</f>
        <v>510452</v>
      </c>
      <c r="D6" s="4" t="str">
        <f>'[1](배민)매크로파일'!B6</f>
        <v>참맑은 비타엔 캔 175ml 30개</v>
      </c>
      <c r="E6" s="5" t="str">
        <f>'[1](배민)매크로파일'!D6</f>
        <v>35-27-02</v>
      </c>
      <c r="F6" s="4"/>
      <c r="G6" s="4">
        <f>'[1](배민)매크로파일'!E6</f>
        <v>13500</v>
      </c>
      <c r="H6" s="4">
        <f>'[1](배민)매크로파일'!I6</f>
        <v>14800</v>
      </c>
      <c r="I6" s="4">
        <f>'[1](배민)매크로파일'!F6</f>
        <v>7500</v>
      </c>
      <c r="J6" s="4">
        <f>'[1](배민)매크로파일'!J6</f>
        <v>8800</v>
      </c>
    </row>
    <row r="7" spans="1:13">
      <c r="A7" s="4">
        <f>[1]!표2[[#This Row],[번호]]</f>
        <v>249744</v>
      </c>
      <c r="B7" s="4" t="str">
        <f>'[1](배민)매크로파일'!B7</f>
        <v>참맑은 홍차 175ml 30개</v>
      </c>
      <c r="C7" s="4">
        <f>VLOOKUP(A7,'[1](배민)일괄수정'!A:R,18,FALSE)</f>
        <v>510437</v>
      </c>
      <c r="D7" s="4" t="str">
        <f>'[1](배민)매크로파일'!B7</f>
        <v>참맑은 홍차 175ml 30개</v>
      </c>
      <c r="E7" s="5" t="str">
        <f>'[1](배민)매크로파일'!D7</f>
        <v>35-05</v>
      </c>
      <c r="F7" s="4"/>
      <c r="G7" s="4">
        <f>'[1](배민)매크로파일'!E7</f>
        <v>13000</v>
      </c>
      <c r="H7" s="4">
        <f>'[1](배민)매크로파일'!I7</f>
        <v>13900</v>
      </c>
      <c r="I7" s="4">
        <f>'[1](배민)매크로파일'!F7</f>
        <v>7000</v>
      </c>
      <c r="J7" s="4">
        <f>'[1](배민)매크로파일'!J7</f>
        <v>7900</v>
      </c>
    </row>
    <row r="8" spans="1:13">
      <c r="A8" s="4">
        <f>[1]!표2[[#This Row],[번호]]</f>
        <v>317586</v>
      </c>
      <c r="B8" s="4" t="str">
        <f>'[1](배민)매크로파일'!B8</f>
        <v>참맑은 토마토 175ml 30개</v>
      </c>
      <c r="C8" s="4">
        <f>VLOOKUP(A8,'[1](배민)일괄수정'!A:R,18,FALSE)</f>
        <v>625287</v>
      </c>
      <c r="D8" s="4" t="str">
        <f>'[1](배민)매크로파일'!B8</f>
        <v>참맑은 토마토 175ml 30개</v>
      </c>
      <c r="E8" s="5" t="str">
        <f>'[1](배민)매크로파일'!D8</f>
        <v>35-18-05</v>
      </c>
      <c r="F8" s="4"/>
      <c r="G8" s="4">
        <f>'[1](배민)매크로파일'!E8</f>
        <v>13700</v>
      </c>
      <c r="H8" s="4">
        <f>'[1](배민)매크로파일'!I8</f>
        <v>14800</v>
      </c>
      <c r="I8" s="4">
        <f>'[1](배민)매크로파일'!F8</f>
        <v>7700</v>
      </c>
      <c r="J8" s="4">
        <f>'[1](배민)매크로파일'!J8</f>
        <v>8800</v>
      </c>
    </row>
    <row r="9" spans="1:13">
      <c r="A9" s="4">
        <f>[1]!표2[[#This Row],[번호]]</f>
        <v>569087</v>
      </c>
      <c r="B9" s="4" t="str">
        <f>'[1](배민)매크로파일'!B9</f>
        <v>참맑은 복분자 175ml 30개</v>
      </c>
      <c r="C9" s="4">
        <f>VLOOKUP(A9,'[1](배민)일괄수정'!A:R,18,FALSE)</f>
        <v>1106012</v>
      </c>
      <c r="D9" s="4" t="str">
        <f>'[1](배민)매크로파일'!B9</f>
        <v>참맑은 복분자 175ml 30개</v>
      </c>
      <c r="E9" s="5" t="str">
        <f>'[1](배민)매크로파일'!D9</f>
        <v>35-14</v>
      </c>
      <c r="F9" s="4"/>
      <c r="G9" s="4">
        <f>'[1](배민)매크로파일'!E9</f>
        <v>13700</v>
      </c>
      <c r="H9" s="4">
        <f>'[1](배민)매크로파일'!I9</f>
        <v>14900</v>
      </c>
      <c r="I9" s="4">
        <f>'[1](배민)매크로파일'!F9</f>
        <v>7700</v>
      </c>
      <c r="J9" s="4">
        <f>'[1](배민)매크로파일'!J9</f>
        <v>8900</v>
      </c>
    </row>
    <row r="10" spans="1:13">
      <c r="A10" s="4">
        <f>[1]!표2[[#This Row],[번호]]</f>
        <v>569086</v>
      </c>
      <c r="B10" s="4" t="str">
        <f>'[1](배민)매크로파일'!B10</f>
        <v>참맑은 비스카페라떼 175ml 30개</v>
      </c>
      <c r="C10" s="4">
        <f>VLOOKUP(A10,'[1](배민)일괄수정'!A:R,18,FALSE)</f>
        <v>1106011</v>
      </c>
      <c r="D10" s="4" t="str">
        <f>'[1](배민)매크로파일'!B10</f>
        <v>참맑은 비스카페라떼 175ml 30개</v>
      </c>
      <c r="E10" s="5" t="str">
        <f>'[1](배민)매크로파일'!D10</f>
        <v>35-18-10</v>
      </c>
      <c r="F10" s="4"/>
      <c r="G10" s="4">
        <f>'[1](배민)매크로파일'!E10</f>
        <v>14500</v>
      </c>
      <c r="H10" s="4">
        <f>'[1](배민)매크로파일'!I10</f>
        <v>15600</v>
      </c>
      <c r="I10" s="4">
        <f>'[1](배민)매크로파일'!F10</f>
        <v>8500</v>
      </c>
      <c r="J10" s="4">
        <f>'[1](배민)매크로파일'!J10</f>
        <v>9600</v>
      </c>
    </row>
    <row r="11" spans="1:13">
      <c r="A11" s="4">
        <f>[1]!표2[[#This Row],[번호]]</f>
        <v>485029</v>
      </c>
      <c r="B11" s="4" t="str">
        <f>'[1](배민)매크로파일'!B11</f>
        <v>참맑은 사과 175ml 30개</v>
      </c>
      <c r="C11" s="4">
        <f>VLOOKUP(A11,'[1](배민)일괄수정'!A:R,18,FALSE)</f>
        <v>926616</v>
      </c>
      <c r="D11" s="4" t="str">
        <f>'[1](배민)매크로파일'!B11</f>
        <v>참맑은 사과 175ml 30개</v>
      </c>
      <c r="E11" s="5" t="str">
        <f>'[1](배민)매크로파일'!D11</f>
        <v>35-18-07</v>
      </c>
      <c r="F11" s="4"/>
      <c r="G11" s="4">
        <f>'[1](배민)매크로파일'!E11</f>
        <v>13700</v>
      </c>
      <c r="H11" s="4">
        <f>'[1](배민)매크로파일'!I11</f>
        <v>15000</v>
      </c>
      <c r="I11" s="4">
        <f>'[1](배민)매크로파일'!F11</f>
        <v>7700</v>
      </c>
      <c r="J11" s="4">
        <f>'[1](배민)매크로파일'!J11</f>
        <v>9000</v>
      </c>
    </row>
    <row r="12" spans="1:13">
      <c r="A12" s="4">
        <f>[1]!표2[[#This Row],[번호]]</f>
        <v>485028</v>
      </c>
      <c r="B12" s="4" t="str">
        <f>'[1](배민)매크로파일'!B12</f>
        <v>참맑은 배 175ml 30개</v>
      </c>
      <c r="C12" s="4">
        <f>VLOOKUP(A12,'[1](배민)일괄수정'!A:R,18,FALSE)</f>
        <v>926615</v>
      </c>
      <c r="D12" s="4" t="str">
        <f>'[1](배민)매크로파일'!B12</f>
        <v>참맑은 배 175ml 30개</v>
      </c>
      <c r="E12" s="5" t="str">
        <f>'[1](배민)매크로파일'!D12</f>
        <v>35-18-08</v>
      </c>
      <c r="F12" s="4"/>
      <c r="G12" s="4">
        <f>'[1](배민)매크로파일'!E12</f>
        <v>14200</v>
      </c>
      <c r="H12" s="4">
        <f>'[1](배민)매크로파일'!I12</f>
        <v>15600</v>
      </c>
      <c r="I12" s="4">
        <f>'[1](배민)매크로파일'!F12</f>
        <v>8200</v>
      </c>
      <c r="J12" s="4">
        <f>'[1](배민)매크로파일'!J12</f>
        <v>9600</v>
      </c>
    </row>
    <row r="13" spans="1:13">
      <c r="A13" s="4">
        <f>[1]!표2[[#This Row],[번호]]</f>
        <v>485027</v>
      </c>
      <c r="B13" s="4" t="str">
        <f>'[1](배민)매크로파일'!B13</f>
        <v>참맑은 머스캣 175ml 30개</v>
      </c>
      <c r="C13" s="4">
        <f>VLOOKUP(A13,'[1](배민)일괄수정'!A:R,18,FALSE)</f>
        <v>926614</v>
      </c>
      <c r="D13" s="4" t="str">
        <f>'[1](배민)매크로파일'!B13</f>
        <v>참맑은 머스캣 175ml 30개</v>
      </c>
      <c r="E13" s="5" t="str">
        <f>'[1](배민)매크로파일'!D13</f>
        <v>35-18-09</v>
      </c>
      <c r="F13" s="4"/>
      <c r="G13" s="4">
        <f>'[1](배민)매크로파일'!E13</f>
        <v>13600</v>
      </c>
      <c r="H13" s="4">
        <f>'[1](배민)매크로파일'!I13</f>
        <v>14800</v>
      </c>
      <c r="I13" s="4">
        <f>'[1](배민)매크로파일'!F13</f>
        <v>7600</v>
      </c>
      <c r="J13" s="4">
        <f>'[1](배민)매크로파일'!J13</f>
        <v>8800</v>
      </c>
    </row>
    <row r="14" spans="1:13">
      <c r="A14" s="4">
        <f>[1]!표2[[#This Row],[번호]]</f>
        <v>458501</v>
      </c>
      <c r="B14" s="4" t="str">
        <f>'[1](배민)매크로파일'!B14</f>
        <v>참맑은 알로에 175ml 30개</v>
      </c>
      <c r="C14" s="4">
        <f>VLOOKUP(A14,'[1](배민)일괄수정'!A:R,18,FALSE)</f>
        <v>863405</v>
      </c>
      <c r="D14" s="4" t="str">
        <f>'[1](배민)매크로파일'!B14</f>
        <v>참맑은 알로에 175ml 30개</v>
      </c>
      <c r="E14" s="5" t="str">
        <f>'[1](배민)매크로파일'!D14</f>
        <v>52-55.</v>
      </c>
      <c r="F14" s="4"/>
      <c r="G14" s="4">
        <f>'[1](배민)매크로파일'!E14</f>
        <v>13700</v>
      </c>
      <c r="H14" s="4">
        <f>'[1](배민)매크로파일'!I14</f>
        <v>14800</v>
      </c>
      <c r="I14" s="4">
        <f>'[1](배민)매크로파일'!F14</f>
        <v>7700</v>
      </c>
      <c r="J14" s="4">
        <f>'[1](배민)매크로파일'!J14</f>
        <v>8800</v>
      </c>
    </row>
    <row r="15" spans="1:13">
      <c r="A15" s="4">
        <f>[1]!표2[[#This Row],[번호]]</f>
        <v>249961</v>
      </c>
      <c r="B15" s="4" t="str">
        <f>'[1](배민)매크로파일'!B15</f>
        <v>참맑은 망고 캔 175ml 30개</v>
      </c>
      <c r="C15" s="4">
        <f>VLOOKUP(A15,'[1](배민)일괄수정'!A:R,18,FALSE)</f>
        <v>510654</v>
      </c>
      <c r="D15" s="4" t="str">
        <f>'[1](배민)매크로파일'!B15</f>
        <v>참맑은 망고 캔 175ml 30개</v>
      </c>
      <c r="E15" s="5" t="str">
        <f>'[1](배민)매크로파일'!D15</f>
        <v>35-10</v>
      </c>
      <c r="F15" s="4"/>
      <c r="G15" s="4">
        <f>'[1](배민)매크로파일'!E15</f>
        <v>13300</v>
      </c>
      <c r="H15" s="4">
        <f>'[1](배민)매크로파일'!I15</f>
        <v>14500</v>
      </c>
      <c r="I15" s="4">
        <f>'[1](배민)매크로파일'!F15</f>
        <v>7300</v>
      </c>
      <c r="J15" s="4">
        <f>'[1](배민)매크로파일'!J15</f>
        <v>8500</v>
      </c>
    </row>
    <row r="16" spans="1:13">
      <c r="A16" s="4">
        <f>[1]!표2[[#This Row],[번호]]</f>
        <v>249946</v>
      </c>
      <c r="B16" s="4" t="str">
        <f>'[1](배민)매크로파일'!B16</f>
        <v>참맑은 파인애플 캔 175ml 30개</v>
      </c>
      <c r="C16" s="4">
        <f>VLOOKUP(A16,'[1](배민)일괄수정'!A:R,18,FALSE)</f>
        <v>510639</v>
      </c>
      <c r="D16" s="4" t="str">
        <f>'[1](배민)매크로파일'!B16</f>
        <v>참맑은 파인애플 캔 175ml 30개</v>
      </c>
      <c r="E16" s="5" t="str">
        <f>'[1](배민)매크로파일'!D16</f>
        <v>35-16-02</v>
      </c>
      <c r="F16" s="4"/>
      <c r="G16" s="4">
        <f>'[1](배민)매크로파일'!E16</f>
        <v>13200</v>
      </c>
      <c r="H16" s="4">
        <f>'[1](배민)매크로파일'!I16</f>
        <v>14400</v>
      </c>
      <c r="I16" s="4">
        <f>'[1](배민)매크로파일'!F16</f>
        <v>7200</v>
      </c>
      <c r="J16" s="4">
        <f>'[1](배민)매크로파일'!J16</f>
        <v>8400</v>
      </c>
    </row>
    <row r="17" spans="1:10">
      <c r="A17" s="4">
        <f>[1]!표2[[#This Row],[번호]]</f>
        <v>249935</v>
      </c>
      <c r="B17" s="4" t="str">
        <f>'[1](배민)매크로파일'!B17</f>
        <v>참맑은 매실 캔 175ml 30개</v>
      </c>
      <c r="C17" s="4">
        <f>VLOOKUP(A17,'[1](배민)일괄수정'!A:R,18,FALSE)</f>
        <v>510628</v>
      </c>
      <c r="D17" s="4" t="str">
        <f>'[1](배민)매크로파일'!B17</f>
        <v>참맑은 매실 캔 175ml 30개</v>
      </c>
      <c r="E17" s="5" t="str">
        <f>'[1](배민)매크로파일'!D17</f>
        <v>35-27-01</v>
      </c>
      <c r="F17" s="4"/>
      <c r="G17" s="4">
        <f>'[1](배민)매크로파일'!E17</f>
        <v>13300</v>
      </c>
      <c r="H17" s="4">
        <f>'[1](배민)매크로파일'!I17</f>
        <v>14600</v>
      </c>
      <c r="I17" s="4">
        <f>'[1](배민)매크로파일'!F17</f>
        <v>7300</v>
      </c>
      <c r="J17" s="4">
        <f>'[1](배민)매크로파일'!J17</f>
        <v>8600</v>
      </c>
    </row>
    <row r="18" spans="1:10">
      <c r="A18" s="4">
        <f>[1]!표2[[#This Row],[번호]]</f>
        <v>249882</v>
      </c>
      <c r="B18" s="4" t="str">
        <f>'[1](배민)매크로파일'!B18</f>
        <v>참맑은 참대추 175ml 30개</v>
      </c>
      <c r="C18" s="4">
        <f>VLOOKUP(A18,'[1](배민)일괄수정'!A:R,18,FALSE)</f>
        <v>510575</v>
      </c>
      <c r="D18" s="4" t="str">
        <f>'[1](배민)매크로파일'!B18</f>
        <v>참맑은 참대추 175ml 30개</v>
      </c>
      <c r="E18" s="5" t="str">
        <f>'[1](배민)매크로파일'!D18</f>
        <v>35-16</v>
      </c>
      <c r="F18" s="4"/>
      <c r="G18" s="4">
        <f>'[1](배민)매크로파일'!E18</f>
        <v>13800</v>
      </c>
      <c r="H18" s="4">
        <f>'[1](배민)매크로파일'!I18</f>
        <v>14800</v>
      </c>
      <c r="I18" s="4">
        <f>'[1](배민)매크로파일'!F18</f>
        <v>7800</v>
      </c>
      <c r="J18" s="4">
        <f>'[1](배민)매크로파일'!J18</f>
        <v>8800</v>
      </c>
    </row>
    <row r="19" spans="1:10">
      <c r="A19" s="4">
        <f>[1]!표2[[#This Row],[번호]]</f>
        <v>249880</v>
      </c>
      <c r="B19" s="4" t="str">
        <f>'[1](배민)매크로파일'!B19</f>
        <v>참맑은 제주감귤 캔 175ml 30개</v>
      </c>
      <c r="C19" s="4">
        <f>VLOOKUP(A19,'[1](배민)일괄수정'!A:R,18,FALSE)</f>
        <v>510573</v>
      </c>
      <c r="D19" s="4" t="str">
        <f>'[1](배민)매크로파일'!B19</f>
        <v>참맑은 제주감귤 캔 175ml 30개</v>
      </c>
      <c r="E19" s="5" t="str">
        <f>'[1](배민)매크로파일'!D19</f>
        <v>35-16-01</v>
      </c>
      <c r="F19" s="4"/>
      <c r="G19" s="4">
        <f>'[1](배민)매크로파일'!E19</f>
        <v>13300</v>
      </c>
      <c r="H19" s="4">
        <f>'[1](배민)매크로파일'!I19</f>
        <v>14600</v>
      </c>
      <c r="I19" s="4">
        <f>'[1](배민)매크로파일'!F19</f>
        <v>7300</v>
      </c>
      <c r="J19" s="4">
        <f>'[1](배민)매크로파일'!J19</f>
        <v>8600</v>
      </c>
    </row>
    <row r="20" spans="1:10">
      <c r="A20" s="4">
        <f>[1]!표2[[#This Row],[번호]]</f>
        <v>249817</v>
      </c>
      <c r="B20" s="4" t="str">
        <f>'[1](배민)매크로파일'!B20</f>
        <v>참맑은 벌꿀 캔175ml 30개</v>
      </c>
      <c r="C20" s="4">
        <f>VLOOKUP(A20,'[1](배민)일괄수정'!A:R,18,FALSE)</f>
        <v>510510</v>
      </c>
      <c r="D20" s="4" t="str">
        <f>'[1](배민)매크로파일'!B20</f>
        <v>참맑은 벌꿀 캔175ml 30개</v>
      </c>
      <c r="E20" s="5" t="str">
        <f>'[1](배민)매크로파일'!D20</f>
        <v>35-08</v>
      </c>
      <c r="F20" s="4"/>
      <c r="G20" s="4">
        <f>'[1](배민)매크로파일'!E20</f>
        <v>13700</v>
      </c>
      <c r="H20" s="4">
        <f>'[1](배민)매크로파일'!I20</f>
        <v>15200</v>
      </c>
      <c r="I20" s="4">
        <f>'[1](배민)매크로파일'!F20</f>
        <v>7700</v>
      </c>
      <c r="J20" s="4">
        <f>'[1](배민)매크로파일'!J20</f>
        <v>9200</v>
      </c>
    </row>
    <row r="21" spans="1:10">
      <c r="A21" s="4">
        <f>[1]!표2[[#This Row],[번호]]</f>
        <v>249786</v>
      </c>
      <c r="B21" s="4" t="str">
        <f>'[1](배민)매크로파일'!B21</f>
        <v>참맑은 복숭아 캔 175ml 30개</v>
      </c>
      <c r="C21" s="4">
        <f>VLOOKUP(A21,'[1](배민)일괄수정'!A:R,18,FALSE)</f>
        <v>510479</v>
      </c>
      <c r="D21" s="4" t="str">
        <f>'[1](배민)매크로파일'!B21</f>
        <v>참맑은 복숭아 캔 175ml 30개</v>
      </c>
      <c r="E21" s="5" t="str">
        <f>'[1](배민)매크로파일'!D21</f>
        <v>35-27</v>
      </c>
      <c r="F21" s="4"/>
      <c r="G21" s="4">
        <f>'[1](배민)매크로파일'!E21</f>
        <v>13500</v>
      </c>
      <c r="H21" s="4">
        <f>'[1](배민)매크로파일'!I21</f>
        <v>14900</v>
      </c>
      <c r="I21" s="4">
        <f>'[1](배민)매크로파일'!F21</f>
        <v>7500</v>
      </c>
      <c r="J21" s="4">
        <f>'[1](배민)매크로파일'!J21</f>
        <v>8900</v>
      </c>
    </row>
    <row r="22" spans="1:10">
      <c r="A22" s="4">
        <f>[1]!표2[[#This Row],[번호]]</f>
        <v>249741</v>
      </c>
      <c r="B22" s="4" t="str">
        <f>'[1](배민)매크로파일'!B22</f>
        <v>참맑은 헛개차 175ml  30캔</v>
      </c>
      <c r="C22" s="4">
        <f>VLOOKUP(A22,'[1](배민)일괄수정'!A:R,18,FALSE)</f>
        <v>510434</v>
      </c>
      <c r="D22" s="4" t="str">
        <f>'[1](배민)매크로파일'!B22</f>
        <v>참맑은 헛개차 175ml  30캔</v>
      </c>
      <c r="E22" s="5" t="str">
        <f>'[1](배민)매크로파일'!D22</f>
        <v>35-06</v>
      </c>
      <c r="F22" s="4"/>
      <c r="G22" s="4">
        <f>'[1](배민)매크로파일'!E22</f>
        <v>12700</v>
      </c>
      <c r="H22" s="4">
        <f>'[1](배민)매크로파일'!I22</f>
        <v>13600</v>
      </c>
      <c r="I22" s="4">
        <f>'[1](배민)매크로파일'!F22</f>
        <v>6700</v>
      </c>
      <c r="J22" s="4">
        <f>'[1](배민)매크로파일'!J22</f>
        <v>7600</v>
      </c>
    </row>
    <row r="23" spans="1:10">
      <c r="A23" s="4">
        <f>[1]!표2[[#This Row],[번호]]</f>
        <v>249736</v>
      </c>
      <c r="B23" s="4" t="str">
        <f>'[1](배민)매크로파일'!B23</f>
        <v>현대약품 비타업 100ml 100개</v>
      </c>
      <c r="C23" s="4">
        <f>VLOOKUP(A23,'[1](배민)일괄수정'!A:R,18,FALSE)</f>
        <v>510429</v>
      </c>
      <c r="D23" s="4" t="str">
        <f>'[1](배민)매크로파일'!B23</f>
        <v>현대약품 비타업 100ml 100개</v>
      </c>
      <c r="E23" s="5" t="str">
        <f>'[1](배민)매크로파일'!D23</f>
        <v>28-13-05</v>
      </c>
      <c r="F23" s="4"/>
      <c r="G23" s="4">
        <f>'[1](배민)매크로파일'!E23</f>
        <v>35600</v>
      </c>
      <c r="H23" s="4">
        <f>'[1](배민)매크로파일'!I23</f>
        <v>40000</v>
      </c>
      <c r="I23" s="4">
        <f>'[1](배민)매크로파일'!F23</f>
        <v>29600</v>
      </c>
      <c r="J23" s="4">
        <f>'[1](배민)매크로파일'!J23</f>
        <v>34000</v>
      </c>
    </row>
    <row r="24" spans="1:10">
      <c r="A24" s="4">
        <f>[1]!표2[[#This Row],[번호]]</f>
        <v>317574</v>
      </c>
      <c r="B24" s="4" t="str">
        <f>'[1](배민)매크로파일'!B24</f>
        <v>칠성 사이다 제로 250ml 30캔</v>
      </c>
      <c r="C24" s="4">
        <f>VLOOKUP(A24,'[1](배민)일괄수정'!A:R,18,FALSE)</f>
        <v>625275</v>
      </c>
      <c r="D24" s="4" t="str">
        <f>'[1](배민)매크로파일'!B24</f>
        <v>칠성 사이다 제로 250ml 30캔</v>
      </c>
      <c r="E24" s="5" t="str">
        <f>'[1](배민)매크로파일'!D24</f>
        <v>27-01-05</v>
      </c>
      <c r="F24" s="4"/>
      <c r="G24" s="4">
        <f>'[1](배민)매크로파일'!E24</f>
        <v>28300</v>
      </c>
      <c r="H24" s="4">
        <f>'[1](배민)매크로파일'!I24</f>
        <v>29000</v>
      </c>
      <c r="I24" s="4">
        <f>'[1](배민)매크로파일'!F24</f>
        <v>22300</v>
      </c>
      <c r="J24" s="4">
        <f>'[1](배민)매크로파일'!J24</f>
        <v>23000</v>
      </c>
    </row>
    <row r="25" spans="1:10">
      <c r="A25" s="4">
        <f>[1]!표2[[#This Row],[번호]]</f>
        <v>249690</v>
      </c>
      <c r="B25" s="4" t="str">
        <f>'[1](배민)매크로파일'!B25</f>
        <v>HC 강구나루 고등어 400g 24개</v>
      </c>
      <c r="C25" s="4">
        <f>VLOOKUP(A25,'[1](배민)일괄수정'!A:R,18,FALSE)</f>
        <v>510383</v>
      </c>
      <c r="D25" s="4" t="str">
        <f>'[1](배민)매크로파일'!B25</f>
        <v>HC 강구나루 고등어 400g 24개</v>
      </c>
      <c r="E25" s="5" t="str">
        <f>'[1](배민)매크로파일'!D25</f>
        <v>14-13</v>
      </c>
      <c r="F25" s="4"/>
      <c r="G25" s="4">
        <f>'[1](배민)매크로파일'!E25</f>
        <v>46200</v>
      </c>
      <c r="H25" s="4">
        <f>'[1](배민)매크로파일'!I25</f>
        <v>50600</v>
      </c>
      <c r="I25" s="4">
        <f>'[1](배민)매크로파일'!F25</f>
        <v>40200</v>
      </c>
      <c r="J25" s="4">
        <f>'[1](배민)매크로파일'!J25</f>
        <v>44600</v>
      </c>
    </row>
    <row r="26" spans="1:10">
      <c r="A26" s="4">
        <f>[1]!표2[[#This Row],[번호]]</f>
        <v>249824</v>
      </c>
      <c r="B26" s="4" t="str">
        <f>'[1](배민)매크로파일'!B26</f>
        <v>일화 맥콜 500ml 20개</v>
      </c>
      <c r="C26" s="4">
        <f>VLOOKUP(A26,'[1](배민)일괄수정'!A:R,18,FALSE)</f>
        <v>510517</v>
      </c>
      <c r="D26" s="4" t="str">
        <f>'[1](배민)매크로파일'!B26</f>
        <v>일화 맥콜 500ml 20개</v>
      </c>
      <c r="E26" s="5" t="str">
        <f>'[1](배민)매크로파일'!D26</f>
        <v>29-03</v>
      </c>
      <c r="F26" s="4"/>
      <c r="G26" s="4">
        <f>'[1](배민)매크로파일'!E26</f>
        <v>23900</v>
      </c>
      <c r="H26" s="4">
        <f>'[1](배민)매크로파일'!I26</f>
        <v>24500</v>
      </c>
      <c r="I26" s="4">
        <f>'[1](배민)매크로파일'!F26</f>
        <v>17900</v>
      </c>
      <c r="J26" s="4">
        <f>'[1](배민)매크로파일'!J26</f>
        <v>18500</v>
      </c>
    </row>
    <row r="27" spans="1:10">
      <c r="A27" s="4">
        <f>[1]!표2[[#This Row],[번호]]</f>
        <v>249752</v>
      </c>
      <c r="B27" s="4" t="str">
        <f>'[1](배민)매크로파일'!B27</f>
        <v>참맑은 옥수수 수염차 175ml 30캔</v>
      </c>
      <c r="C27" s="4">
        <f>VLOOKUP(A27,'[1](배민)일괄수정'!A:R,18,FALSE)</f>
        <v>510445</v>
      </c>
      <c r="D27" s="4" t="str">
        <f>'[1](배민)매크로파일'!B27</f>
        <v>참맑은 옥수수 수염차 175ml 30캔</v>
      </c>
      <c r="E27" s="5" t="str">
        <f>'[1](배민)매크로파일'!D27</f>
        <v>35-01</v>
      </c>
      <c r="F27" s="4"/>
      <c r="G27" s="4">
        <f>'[1](배민)매크로파일'!E27</f>
        <v>12900</v>
      </c>
      <c r="H27" s="4">
        <f>'[1](배민)매크로파일'!I27</f>
        <v>13600</v>
      </c>
      <c r="I27" s="4">
        <f>'[1](배민)매크로파일'!F27</f>
        <v>6900</v>
      </c>
      <c r="J27" s="4">
        <f>'[1](배민)매크로파일'!J27</f>
        <v>7600</v>
      </c>
    </row>
    <row r="28" spans="1:10">
      <c r="A28" s="4">
        <f>[1]!표2[[#This Row],[번호]]</f>
        <v>249661</v>
      </c>
      <c r="B28" s="4" t="str">
        <f>'[1](배민)매크로파일'!B28</f>
        <v>델몬트 파인애플 통조림 836g 24개</v>
      </c>
      <c r="C28" s="4">
        <f>VLOOKUP(A28,'[1](배민)일괄수정'!A:R,18,FALSE)</f>
        <v>510354</v>
      </c>
      <c r="D28" s="4" t="str">
        <f>'[1](배민)매크로파일'!B28</f>
        <v>델몬트 파인애플 통조림 836g 24개</v>
      </c>
      <c r="E28" s="5" t="str">
        <f>'[1](배민)매크로파일'!D28</f>
        <v>17-01</v>
      </c>
      <c r="F28" s="4"/>
      <c r="G28" s="4">
        <f>'[1](배민)매크로파일'!E28</f>
        <v>96700</v>
      </c>
      <c r="H28" s="4">
        <f>'[1](배민)매크로파일'!I28</f>
        <v>102400</v>
      </c>
      <c r="I28" s="4">
        <f>'[1](배민)매크로파일'!F28</f>
        <v>90700</v>
      </c>
      <c r="J28" s="4">
        <f>'[1](배민)매크로파일'!J28</f>
        <v>96400</v>
      </c>
    </row>
  </sheetData>
  <phoneticPr fontId="2" type="noConversion"/>
  <conditionalFormatting sqref="M2">
    <cfRule type="cellIs" dxfId="7" priority="5" operator="equal">
      <formula>"20% 이상 높은 가격"</formula>
    </cfRule>
    <cfRule type="cellIs" dxfId="6" priority="6" operator="equal">
      <formula>"20% 이상 낮은 가격"</formula>
    </cfRule>
  </conditionalFormatting>
  <conditionalFormatting sqref="B1:B1048576">
    <cfRule type="duplicateValues" dxfId="5" priority="4"/>
  </conditionalFormatting>
  <conditionalFormatting sqref="A1:A1048576">
    <cfRule type="duplicateValues" dxfId="4" priority="1"/>
    <cfRule type="duplicateValues" dxfId="3" priority="2"/>
    <cfRule type="duplicateValues" dxfId="2" priority="3"/>
  </conditionalFormatting>
  <conditionalFormatting sqref="C2:C28">
    <cfRule type="duplicateValues" dxfId="1" priority="7"/>
  </conditionalFormatting>
  <conditionalFormatting sqref="A2:A28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(배민)양식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 jeong</dc:creator>
  <cp:lastModifiedBy>sang jeong</cp:lastModifiedBy>
  <dcterms:created xsi:type="dcterms:W3CDTF">2026-06-11T04:33:58Z</dcterms:created>
  <dcterms:modified xsi:type="dcterms:W3CDTF">2026-06-11T04:34:07Z</dcterms:modified>
</cp:coreProperties>
</file>