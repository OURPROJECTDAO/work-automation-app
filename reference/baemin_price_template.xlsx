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♨1회성다운로드\배민상회\"/>
    </mc:Choice>
  </mc:AlternateContent>
  <xr:revisionPtr revIDLastSave="0" documentId="8_{4739A5FA-AA40-43C7-85E4-6A2649CA9457}" xr6:coauthVersionLast="47" xr6:coauthVersionMax="47" xr10:uidLastSave="{00000000-0000-0000-0000-000000000000}"/>
  <bookViews>
    <workbookView xWindow="28680" yWindow="-120" windowWidth="29040" windowHeight="15840" xr2:uid="{307E44B7-ADAA-496D-BE6D-5D042837C79E}"/>
  </bookViews>
  <sheets>
    <sheet name="(배민)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H28" i="1"/>
  <c r="G28" i="1"/>
  <c r="E28" i="1"/>
  <c r="D28" i="1"/>
  <c r="C28" i="1"/>
  <c r="B28" i="1"/>
  <c r="A28" i="1"/>
  <c r="J27" i="1"/>
  <c r="I27" i="1"/>
  <c r="H27" i="1"/>
  <c r="G27" i="1"/>
  <c r="E27" i="1"/>
  <c r="D27" i="1"/>
  <c r="C27" i="1"/>
  <c r="B27" i="1"/>
  <c r="A27" i="1"/>
  <c r="J26" i="1"/>
  <c r="I26" i="1"/>
  <c r="H26" i="1"/>
  <c r="G26" i="1"/>
  <c r="E26" i="1"/>
  <c r="D26" i="1"/>
  <c r="B26" i="1"/>
  <c r="A26" i="1"/>
  <c r="C26" i="1" s="1"/>
  <c r="J25" i="1"/>
  <c r="I25" i="1"/>
  <c r="H25" i="1"/>
  <c r="G25" i="1"/>
  <c r="E25" i="1"/>
  <c r="D25" i="1"/>
  <c r="B25" i="1"/>
  <c r="A25" i="1"/>
  <c r="C25" i="1" s="1"/>
  <c r="J24" i="1"/>
  <c r="I24" i="1"/>
  <c r="H24" i="1"/>
  <c r="G24" i="1"/>
  <c r="E24" i="1"/>
  <c r="D24" i="1"/>
  <c r="C24" i="1"/>
  <c r="B24" i="1"/>
  <c r="A24" i="1"/>
  <c r="J23" i="1"/>
  <c r="I23" i="1"/>
  <c r="H23" i="1"/>
  <c r="G23" i="1"/>
  <c r="E23" i="1"/>
  <c r="D23" i="1"/>
  <c r="C23" i="1"/>
  <c r="B23" i="1"/>
  <c r="A23" i="1"/>
  <c r="J22" i="1"/>
  <c r="I22" i="1"/>
  <c r="H22" i="1"/>
  <c r="G22" i="1"/>
  <c r="E22" i="1"/>
  <c r="D22" i="1"/>
  <c r="B22" i="1"/>
  <c r="A22" i="1"/>
  <c r="C22" i="1" s="1"/>
  <c r="J21" i="1"/>
  <c r="I21" i="1"/>
  <c r="H21" i="1"/>
  <c r="G21" i="1"/>
  <c r="E21" i="1"/>
  <c r="D21" i="1"/>
  <c r="B21" i="1"/>
  <c r="A21" i="1"/>
  <c r="C21" i="1" s="1"/>
  <c r="J20" i="1"/>
  <c r="I20" i="1"/>
  <c r="H20" i="1"/>
  <c r="G20" i="1"/>
  <c r="E20" i="1"/>
  <c r="D20" i="1"/>
  <c r="C20" i="1"/>
  <c r="B20" i="1"/>
  <c r="A20" i="1"/>
  <c r="J19" i="1"/>
  <c r="I19" i="1"/>
  <c r="H19" i="1"/>
  <c r="G19" i="1"/>
  <c r="E19" i="1"/>
  <c r="D19" i="1"/>
  <c r="C19" i="1"/>
  <c r="B19" i="1"/>
  <c r="A19" i="1"/>
  <c r="J18" i="1"/>
  <c r="I18" i="1"/>
  <c r="H18" i="1"/>
  <c r="G18" i="1"/>
  <c r="E18" i="1"/>
  <c r="D18" i="1"/>
  <c r="B18" i="1"/>
  <c r="A18" i="1"/>
  <c r="C18" i="1" s="1"/>
  <c r="J17" i="1"/>
  <c r="I17" i="1"/>
  <c r="H17" i="1"/>
  <c r="G17" i="1"/>
  <c r="E17" i="1"/>
  <c r="D17" i="1"/>
  <c r="B17" i="1"/>
  <c r="A17" i="1"/>
  <c r="C17" i="1" s="1"/>
  <c r="J16" i="1"/>
  <c r="I16" i="1"/>
  <c r="H16" i="1"/>
  <c r="G16" i="1"/>
  <c r="E16" i="1"/>
  <c r="D16" i="1"/>
  <c r="C16" i="1"/>
  <c r="B16" i="1"/>
  <c r="A16" i="1"/>
  <c r="J15" i="1"/>
  <c r="I15" i="1"/>
  <c r="H15" i="1"/>
  <c r="G15" i="1"/>
  <c r="E15" i="1"/>
  <c r="D15" i="1"/>
  <c r="C15" i="1"/>
  <c r="B15" i="1"/>
  <c r="A15" i="1"/>
  <c r="J14" i="1"/>
  <c r="I14" i="1"/>
  <c r="H14" i="1"/>
  <c r="G14" i="1"/>
  <c r="E14" i="1"/>
  <c r="D14" i="1"/>
  <c r="B14" i="1"/>
  <c r="A14" i="1"/>
  <c r="C14" i="1" s="1"/>
  <c r="J13" i="1"/>
  <c r="I13" i="1"/>
  <c r="H13" i="1"/>
  <c r="G13" i="1"/>
  <c r="E13" i="1"/>
  <c r="D13" i="1"/>
  <c r="B13" i="1"/>
  <c r="A13" i="1"/>
  <c r="C13" i="1" s="1"/>
  <c r="J12" i="1"/>
  <c r="I12" i="1"/>
  <c r="H12" i="1"/>
  <c r="G12" i="1"/>
  <c r="E12" i="1"/>
  <c r="D12" i="1"/>
  <c r="C12" i="1"/>
  <c r="B12" i="1"/>
  <c r="A12" i="1"/>
  <c r="J11" i="1"/>
  <c r="I11" i="1"/>
  <c r="H11" i="1"/>
  <c r="G11" i="1"/>
  <c r="E11" i="1"/>
  <c r="D11" i="1"/>
  <c r="C11" i="1"/>
  <c r="B11" i="1"/>
  <c r="A11" i="1"/>
  <c r="J10" i="1"/>
  <c r="I10" i="1"/>
  <c r="H10" i="1"/>
  <c r="G10" i="1"/>
  <c r="E10" i="1"/>
  <c r="D10" i="1"/>
  <c r="B10" i="1"/>
  <c r="A10" i="1"/>
  <c r="C10" i="1" s="1"/>
  <c r="J9" i="1"/>
  <c r="I9" i="1"/>
  <c r="H9" i="1"/>
  <c r="G9" i="1"/>
  <c r="E9" i="1"/>
  <c r="D9" i="1"/>
  <c r="B9" i="1"/>
  <c r="A9" i="1"/>
  <c r="C9" i="1" s="1"/>
  <c r="J8" i="1"/>
  <c r="I8" i="1"/>
  <c r="H8" i="1"/>
  <c r="G8" i="1"/>
  <c r="E8" i="1"/>
  <c r="D8" i="1"/>
  <c r="C8" i="1"/>
  <c r="B8" i="1"/>
  <c r="A8" i="1"/>
  <c r="J7" i="1"/>
  <c r="I7" i="1"/>
  <c r="H7" i="1"/>
  <c r="G7" i="1"/>
  <c r="E7" i="1"/>
  <c r="D7" i="1"/>
  <c r="C7" i="1"/>
  <c r="B7" i="1"/>
  <c r="A7" i="1"/>
  <c r="J6" i="1"/>
  <c r="I6" i="1"/>
  <c r="H6" i="1"/>
  <c r="G6" i="1"/>
  <c r="E6" i="1"/>
  <c r="D6" i="1"/>
  <c r="B6" i="1"/>
  <c r="A6" i="1"/>
  <c r="C6" i="1" s="1"/>
  <c r="J5" i="1"/>
  <c r="I5" i="1"/>
  <c r="H5" i="1"/>
  <c r="G5" i="1"/>
  <c r="E5" i="1"/>
  <c r="D5" i="1"/>
  <c r="B5" i="1"/>
  <c r="A5" i="1"/>
  <c r="C5" i="1" s="1"/>
  <c r="J4" i="1"/>
  <c r="I4" i="1"/>
  <c r="H4" i="1"/>
  <c r="G4" i="1"/>
  <c r="E4" i="1"/>
  <c r="D4" i="1"/>
  <c r="C4" i="1"/>
  <c r="B4" i="1"/>
  <c r="A4" i="1"/>
  <c r="J3" i="1"/>
  <c r="I3" i="1"/>
  <c r="H3" i="1"/>
  <c r="G3" i="1"/>
  <c r="E3" i="1"/>
  <c r="D3" i="1"/>
  <c r="C3" i="1"/>
  <c r="B3" i="1"/>
  <c r="A3" i="1"/>
  <c r="J2" i="1"/>
  <c r="M2" i="1" s="1"/>
  <c r="I2" i="1"/>
  <c r="H2" i="1"/>
  <c r="G2" i="1"/>
  <c r="E2" i="1"/>
  <c r="D2" i="1"/>
  <c r="B2" i="1"/>
  <c r="A2" i="1"/>
  <c r="C2" i="1" s="1"/>
</calcChain>
</file>

<file path=xl/sharedStrings.xml><?xml version="1.0" encoding="utf-8"?>
<sst xmlns="http://schemas.openxmlformats.org/spreadsheetml/2006/main" count="13" uniqueCount="13">
  <si>
    <t>상품번호</t>
  </si>
  <si>
    <t>상품명</t>
  </si>
  <si>
    <t>옵션번호</t>
  </si>
  <si>
    <t>옵션명</t>
  </si>
  <si>
    <t>관리용상품명</t>
  </si>
  <si>
    <t>배송센터</t>
    <phoneticPr fontId="3" type="noConversion"/>
  </si>
  <si>
    <t>현재 소비자가</t>
  </si>
  <si>
    <t>변경 소비자가 (필수)</t>
  </si>
  <si>
    <t>현재 판매가</t>
  </si>
  <si>
    <t>변경 판매가 (필수)</t>
  </si>
  <si>
    <t>반영일(0000-00-00)</t>
    <phoneticPr fontId="3" type="noConversion"/>
  </si>
  <si>
    <t>반영시각(00:00)</t>
    <phoneticPr fontId="3" type="noConversion"/>
  </si>
  <si>
    <t>변경소비자가/판매가 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</si>
</sst>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hh:mm"/>
  </numFmts>
  <fonts count="7">
    <font>
      <sz val="10"/>
      <name val="나눔고딕"/>
      <charset val="129"/>
    </font>
    <font>
      <b/>
      <sz val="10"/>
      <color theme="1"/>
      <name val="Arial"/>
      <family val="2"/>
    </font>
    <font>
      <sz val="8"/>
      <name val="나눔고딕"/>
      <charset val="129"/>
    </font>
    <font>
      <sz val="8"/>
      <name val="맑은 고딕"/>
      <family val="2"/>
      <charset val="129"/>
      <scheme val="minor"/>
    </font>
    <font>
      <b/>
      <sz val="10"/>
      <color rgb="FFFF0000"/>
      <name val="Arial"/>
      <family val="2"/>
    </font>
    <font>
      <b/>
      <sz val="10"/>
      <color rgb="FFFF0000"/>
      <name val="Malgun Gothic"/>
      <family val="2"/>
      <charset val="129"/>
    </font>
    <font>
      <sz val="10"/>
      <color rgb="FFFF0000"/>
      <name val="Nanum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6" fillId="0" borderId="0" xfId="0" applyFont="1"/>
  </cellXfs>
  <cellStyles count="1"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5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0435-CB7D-49C8-8F7E-A0195B941DE8}">
  <sheetPr codeName="Sheet8"/>
  <dimension ref="A1:M28"/>
  <sheetViews>
    <sheetView tabSelected="1" workbookViewId="0">
      <selection activeCell="F36" sqref="F36"/>
    </sheetView>
  </sheetViews>
  <sheetFormatPr defaultRowHeight="12.75"/>
  <cols>
    <col min="2" max="2" width="35.75" bestFit="1" customWidth="1"/>
    <col min="3" max="3" width="8" bestFit="1" customWidth="1"/>
    <col min="4" max="4" width="35.75" bestFit="1" customWidth="1"/>
    <col min="5" max="5" width="27" bestFit="1" customWidth="1"/>
    <col min="7" max="7" width="11.875" bestFit="1" customWidth="1"/>
    <col min="8" max="8" width="17.25" bestFit="1" customWidth="1"/>
    <col min="9" max="9" width="10.125" bestFit="1" customWidth="1"/>
    <col min="10" max="10" width="15.375" bestFit="1" customWidth="1"/>
    <col min="13" max="13" width="21.5" bestFit="1" customWidth="1"/>
  </cols>
  <sheetData>
    <row r="1" spans="1:13" ht="1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1" t="s">
        <v>12</v>
      </c>
    </row>
    <row r="2" spans="1:13">
      <c r="A2" s="4">
        <f>[1]!표2[[#This Row],[번호]]</f>
        <v>249830</v>
      </c>
      <c r="B2" s="4" t="str">
        <f>'[1](배민)매크로파일'!B2</f>
        <v>참맑은 cool사이다 175ml 30개</v>
      </c>
      <c r="C2" s="4">
        <f>VLOOKUP(A2,'[1](배민)일괄수정'!A:R,18,FALSE)</f>
        <v>510523</v>
      </c>
      <c r="D2" s="4" t="str">
        <f>'[1](배민)매크로파일'!B2</f>
        <v>참맑은 cool사이다 175ml 30개</v>
      </c>
      <c r="E2" s="5" t="str">
        <f>'[1](배민)매크로파일'!D2</f>
        <v>35-18-03</v>
      </c>
      <c r="F2" s="4"/>
      <c r="G2" s="4">
        <f>'[1](배민)매크로파일'!E2</f>
        <v>14100</v>
      </c>
      <c r="H2" s="4">
        <f>'[1](배민)매크로파일'!I2</f>
        <v>15200</v>
      </c>
      <c r="I2" s="4">
        <f>'[1](배민)매크로파일'!F2</f>
        <v>8100</v>
      </c>
      <c r="J2" s="4">
        <f>'[1](배민)매크로파일'!J2</f>
        <v>9200</v>
      </c>
      <c r="K2" s="6"/>
      <c r="L2" s="7"/>
      <c r="M2" s="8" t="str">
        <f t="shared" ref="M2" si="0">IF(J2&gt;H2,"변경 판매가가 변경 소비자가보다 클 수 없습니다","")</f>
        <v/>
      </c>
    </row>
    <row r="3" spans="1:13">
      <c r="A3" s="4">
        <f>[1]!표2[[#This Row],[번호]]</f>
        <v>458502</v>
      </c>
      <c r="B3" s="4" t="str">
        <f>'[1](배민)매크로파일'!B3</f>
        <v>참맑은 유자 175ml 30개</v>
      </c>
      <c r="C3" s="4">
        <f>VLOOKUP(A3,'[1](배민)일괄수정'!A:R,18,FALSE)</f>
        <v>863406</v>
      </c>
      <c r="D3" s="4" t="str">
        <f>'[1](배민)매크로파일'!B3</f>
        <v>참맑은 유자 175ml 30개</v>
      </c>
      <c r="E3" s="5" t="str">
        <f>'[1](배민)매크로파일'!D3</f>
        <v>35-18-06</v>
      </c>
      <c r="F3" s="4"/>
      <c r="G3" s="4">
        <f>'[1](배민)매크로파일'!E3</f>
        <v>14000</v>
      </c>
      <c r="H3" s="4">
        <f>'[1](배민)매크로파일'!I3</f>
        <v>15500</v>
      </c>
      <c r="I3" s="4">
        <f>'[1](배민)매크로파일'!F3</f>
        <v>8000</v>
      </c>
      <c r="J3" s="4">
        <f>'[1](배민)매크로파일'!J3</f>
        <v>9500</v>
      </c>
    </row>
    <row r="4" spans="1:13">
      <c r="A4" s="4">
        <f>[1]!표2[[#This Row],[번호]]</f>
        <v>249889</v>
      </c>
      <c r="B4" s="4" t="str">
        <f>'[1](배민)매크로파일'!B4</f>
        <v>참맑은 식혜 175ml 30개</v>
      </c>
      <c r="C4" s="4">
        <f>VLOOKUP(A4,'[1](배민)일괄수정'!A:R,18,FALSE)</f>
        <v>510582</v>
      </c>
      <c r="D4" s="4" t="str">
        <f>'[1](배민)매크로파일'!B4</f>
        <v>참맑은 식혜 175ml 30개</v>
      </c>
      <c r="E4" s="5" t="str">
        <f>'[1](배민)매크로파일'!D4</f>
        <v>35-07</v>
      </c>
      <c r="F4" s="4"/>
      <c r="G4" s="4">
        <f>'[1](배민)매크로파일'!E4</f>
        <v>13500</v>
      </c>
      <c r="H4" s="4">
        <f>'[1](배민)매크로파일'!I4</f>
        <v>14600</v>
      </c>
      <c r="I4" s="4">
        <f>'[1](배민)매크로파일'!F4</f>
        <v>7500</v>
      </c>
      <c r="J4" s="4">
        <f>'[1](배민)매크로파일'!J4</f>
        <v>8600</v>
      </c>
    </row>
    <row r="5" spans="1:13">
      <c r="A5" s="4">
        <f>[1]!표2[[#This Row],[번호]]</f>
        <v>249842</v>
      </c>
      <c r="B5" s="4" t="str">
        <f>'[1](배민)매크로파일'!B5</f>
        <v>참맑은 보성녹차 캔 175ml 30개</v>
      </c>
      <c r="C5" s="4">
        <f>VLOOKUP(A5,'[1](배민)일괄수정'!A:R,18,FALSE)</f>
        <v>510535</v>
      </c>
      <c r="D5" s="4" t="str">
        <f>'[1](배민)매크로파일'!B5</f>
        <v>참맑은 보성녹차 캔 175ml 30개</v>
      </c>
      <c r="E5" s="5" t="str">
        <f>'[1](배민)매크로파일'!D5</f>
        <v>35-02</v>
      </c>
      <c r="F5" s="4"/>
      <c r="G5" s="4">
        <f>'[1](배민)매크로파일'!E5</f>
        <v>12300</v>
      </c>
      <c r="H5" s="4">
        <f>'[1](배민)매크로파일'!I5</f>
        <v>13300</v>
      </c>
      <c r="I5" s="4">
        <f>'[1](배민)매크로파일'!F5</f>
        <v>6300</v>
      </c>
      <c r="J5" s="4">
        <f>'[1](배민)매크로파일'!J5</f>
        <v>7300</v>
      </c>
    </row>
    <row r="6" spans="1:13">
      <c r="A6" s="4">
        <f>[1]!표2[[#This Row],[번호]]</f>
        <v>249759</v>
      </c>
      <c r="B6" s="4" t="str">
        <f>'[1](배민)매크로파일'!B6</f>
        <v>참맑은 비타엔 캔 175ml 30개</v>
      </c>
      <c r="C6" s="4">
        <f>VLOOKUP(A6,'[1](배민)일괄수정'!A:R,18,FALSE)</f>
        <v>510452</v>
      </c>
      <c r="D6" s="4" t="str">
        <f>'[1](배민)매크로파일'!B6</f>
        <v>참맑은 비타엔 캔 175ml 30개</v>
      </c>
      <c r="E6" s="5" t="str">
        <f>'[1](배민)매크로파일'!D6</f>
        <v>35-27-02</v>
      </c>
      <c r="F6" s="4"/>
      <c r="G6" s="4">
        <f>'[1](배민)매크로파일'!E6</f>
        <v>13500</v>
      </c>
      <c r="H6" s="4">
        <f>'[1](배민)매크로파일'!I6</f>
        <v>14800</v>
      </c>
      <c r="I6" s="4">
        <f>'[1](배민)매크로파일'!F6</f>
        <v>7500</v>
      </c>
      <c r="J6" s="4">
        <f>'[1](배민)매크로파일'!J6</f>
        <v>8800</v>
      </c>
    </row>
    <row r="7" spans="1:13">
      <c r="A7" s="4">
        <f>[1]!표2[[#This Row],[번호]]</f>
        <v>249744</v>
      </c>
      <c r="B7" s="4" t="str">
        <f>'[1](배민)매크로파일'!B7</f>
        <v>참맑은 홍차 175ml 30개</v>
      </c>
      <c r="C7" s="4">
        <f>VLOOKUP(A7,'[1](배민)일괄수정'!A:R,18,FALSE)</f>
        <v>510437</v>
      </c>
      <c r="D7" s="4" t="str">
        <f>'[1](배민)매크로파일'!B7</f>
        <v>참맑은 홍차 175ml 30개</v>
      </c>
      <c r="E7" s="5" t="str">
        <f>'[1](배민)매크로파일'!D7</f>
        <v>35-05</v>
      </c>
      <c r="F7" s="4"/>
      <c r="G7" s="4">
        <f>'[1](배민)매크로파일'!E7</f>
        <v>13000</v>
      </c>
      <c r="H7" s="4">
        <f>'[1](배민)매크로파일'!I7</f>
        <v>13900</v>
      </c>
      <c r="I7" s="4">
        <f>'[1](배민)매크로파일'!F7</f>
        <v>7000</v>
      </c>
      <c r="J7" s="4">
        <f>'[1](배민)매크로파일'!J7</f>
        <v>7900</v>
      </c>
    </row>
    <row r="8" spans="1:13">
      <c r="A8" s="4">
        <f>[1]!표2[[#This Row],[번호]]</f>
        <v>317586</v>
      </c>
      <c r="B8" s="4" t="str">
        <f>'[1](배민)매크로파일'!B8</f>
        <v>참맑은 토마토 175ml 30개</v>
      </c>
      <c r="C8" s="4">
        <f>VLOOKUP(A8,'[1](배민)일괄수정'!A:R,18,FALSE)</f>
        <v>625287</v>
      </c>
      <c r="D8" s="4" t="str">
        <f>'[1](배민)매크로파일'!B8</f>
        <v>참맑은 토마토 175ml 30개</v>
      </c>
      <c r="E8" s="5" t="str">
        <f>'[1](배민)매크로파일'!D8</f>
        <v>35-18-05</v>
      </c>
      <c r="F8" s="4"/>
      <c r="G8" s="4">
        <f>'[1](배민)매크로파일'!E8</f>
        <v>13700</v>
      </c>
      <c r="H8" s="4">
        <f>'[1](배민)매크로파일'!I8</f>
        <v>14800</v>
      </c>
      <c r="I8" s="4">
        <f>'[1](배민)매크로파일'!F8</f>
        <v>7700</v>
      </c>
      <c r="J8" s="4">
        <f>'[1](배민)매크로파일'!J8</f>
        <v>8800</v>
      </c>
    </row>
    <row r="9" spans="1:13">
      <c r="A9" s="4">
        <f>[1]!표2[[#This Row],[번호]]</f>
        <v>569087</v>
      </c>
      <c r="B9" s="4" t="str">
        <f>'[1](배민)매크로파일'!B9</f>
        <v>참맑은 복분자 175ml 30개</v>
      </c>
      <c r="C9" s="4">
        <f>VLOOKUP(A9,'[1](배민)일괄수정'!A:R,18,FALSE)</f>
        <v>1106012</v>
      </c>
      <c r="D9" s="4" t="str">
        <f>'[1](배민)매크로파일'!B9</f>
        <v>참맑은 복분자 175ml 30개</v>
      </c>
      <c r="E9" s="5" t="str">
        <f>'[1](배민)매크로파일'!D9</f>
        <v>35-14</v>
      </c>
      <c r="F9" s="4"/>
      <c r="G9" s="4">
        <f>'[1](배민)매크로파일'!E9</f>
        <v>13700</v>
      </c>
      <c r="H9" s="4">
        <f>'[1](배민)매크로파일'!I9</f>
        <v>14900</v>
      </c>
      <c r="I9" s="4">
        <f>'[1](배민)매크로파일'!F9</f>
        <v>7700</v>
      </c>
      <c r="J9" s="4">
        <f>'[1](배민)매크로파일'!J9</f>
        <v>8900</v>
      </c>
    </row>
    <row r="10" spans="1:13">
      <c r="A10" s="4">
        <f>[1]!표2[[#This Row],[번호]]</f>
        <v>569086</v>
      </c>
      <c r="B10" s="4" t="str">
        <f>'[1](배민)매크로파일'!B10</f>
        <v>참맑은 비스카페라떼 175ml 30개</v>
      </c>
      <c r="C10" s="4">
        <f>VLOOKUP(A10,'[1](배민)일괄수정'!A:R,18,FALSE)</f>
        <v>1106011</v>
      </c>
      <c r="D10" s="4" t="str">
        <f>'[1](배민)매크로파일'!B10</f>
        <v>참맑은 비스카페라떼 175ml 30개</v>
      </c>
      <c r="E10" s="5" t="str">
        <f>'[1](배민)매크로파일'!D10</f>
        <v>35-18-10</v>
      </c>
      <c r="F10" s="4"/>
      <c r="G10" s="4">
        <f>'[1](배민)매크로파일'!E10</f>
        <v>14500</v>
      </c>
      <c r="H10" s="4">
        <f>'[1](배민)매크로파일'!I10</f>
        <v>15600</v>
      </c>
      <c r="I10" s="4">
        <f>'[1](배민)매크로파일'!F10</f>
        <v>8500</v>
      </c>
      <c r="J10" s="4">
        <f>'[1](배민)매크로파일'!J10</f>
        <v>9600</v>
      </c>
    </row>
    <row r="11" spans="1:13">
      <c r="A11" s="4">
        <f>[1]!표2[[#This Row],[번호]]</f>
        <v>485029</v>
      </c>
      <c r="B11" s="4" t="str">
        <f>'[1](배민)매크로파일'!B11</f>
        <v>참맑은 사과 175ml 30개</v>
      </c>
      <c r="C11" s="4">
        <f>VLOOKUP(A11,'[1](배민)일괄수정'!A:R,18,FALSE)</f>
        <v>926616</v>
      </c>
      <c r="D11" s="4" t="str">
        <f>'[1](배민)매크로파일'!B11</f>
        <v>참맑은 사과 175ml 30개</v>
      </c>
      <c r="E11" s="5" t="str">
        <f>'[1](배민)매크로파일'!D11</f>
        <v>35-18-07</v>
      </c>
      <c r="F11" s="4"/>
      <c r="G11" s="4">
        <f>'[1](배민)매크로파일'!E11</f>
        <v>13700</v>
      </c>
      <c r="H11" s="4">
        <f>'[1](배민)매크로파일'!I11</f>
        <v>15000</v>
      </c>
      <c r="I11" s="4">
        <f>'[1](배민)매크로파일'!F11</f>
        <v>7700</v>
      </c>
      <c r="J11" s="4">
        <f>'[1](배민)매크로파일'!J11</f>
        <v>9000</v>
      </c>
    </row>
    <row r="12" spans="1:13">
      <c r="A12" s="4">
        <f>[1]!표2[[#This Row],[번호]]</f>
        <v>485028</v>
      </c>
      <c r="B12" s="4" t="str">
        <f>'[1](배민)매크로파일'!B12</f>
        <v>참맑은 배 175ml 30개</v>
      </c>
      <c r="C12" s="4">
        <f>VLOOKUP(A12,'[1](배민)일괄수정'!A:R,18,FALSE)</f>
        <v>926615</v>
      </c>
      <c r="D12" s="4" t="str">
        <f>'[1](배민)매크로파일'!B12</f>
        <v>참맑은 배 175ml 30개</v>
      </c>
      <c r="E12" s="5" t="str">
        <f>'[1](배민)매크로파일'!D12</f>
        <v>35-18-08</v>
      </c>
      <c r="F12" s="4"/>
      <c r="G12" s="4">
        <f>'[1](배민)매크로파일'!E12</f>
        <v>14200</v>
      </c>
      <c r="H12" s="4">
        <f>'[1](배민)매크로파일'!I12</f>
        <v>15600</v>
      </c>
      <c r="I12" s="4">
        <f>'[1](배민)매크로파일'!F12</f>
        <v>8200</v>
      </c>
      <c r="J12" s="4">
        <f>'[1](배민)매크로파일'!J12</f>
        <v>9600</v>
      </c>
    </row>
    <row r="13" spans="1:13">
      <c r="A13" s="4">
        <f>[1]!표2[[#This Row],[번호]]</f>
        <v>485027</v>
      </c>
      <c r="B13" s="4" t="str">
        <f>'[1](배민)매크로파일'!B13</f>
        <v>참맑은 머스캣 175ml 30개</v>
      </c>
      <c r="C13" s="4">
        <f>VLOOKUP(A13,'[1](배민)일괄수정'!A:R,18,FALSE)</f>
        <v>926614</v>
      </c>
      <c r="D13" s="4" t="str">
        <f>'[1](배민)매크로파일'!B13</f>
        <v>참맑은 머스캣 175ml 30개</v>
      </c>
      <c r="E13" s="5" t="str">
        <f>'[1](배민)매크로파일'!D13</f>
        <v>35-18-09</v>
      </c>
      <c r="F13" s="4"/>
      <c r="G13" s="4">
        <f>'[1](배민)매크로파일'!E13</f>
        <v>13600</v>
      </c>
      <c r="H13" s="4">
        <f>'[1](배민)매크로파일'!I13</f>
        <v>14800</v>
      </c>
      <c r="I13" s="4">
        <f>'[1](배민)매크로파일'!F13</f>
        <v>7600</v>
      </c>
      <c r="J13" s="4">
        <f>'[1](배민)매크로파일'!J13</f>
        <v>8800</v>
      </c>
    </row>
    <row r="14" spans="1:13">
      <c r="A14" s="4">
        <f>[1]!표2[[#This Row],[번호]]</f>
        <v>458501</v>
      </c>
      <c r="B14" s="4" t="str">
        <f>'[1](배민)매크로파일'!B14</f>
        <v>참맑은 알로에 175ml 30개</v>
      </c>
      <c r="C14" s="4">
        <f>VLOOKUP(A14,'[1](배민)일괄수정'!A:R,18,FALSE)</f>
        <v>863405</v>
      </c>
      <c r="D14" s="4" t="str">
        <f>'[1](배민)매크로파일'!B14</f>
        <v>참맑은 알로에 175ml 30개</v>
      </c>
      <c r="E14" s="5" t="str">
        <f>'[1](배민)매크로파일'!D14</f>
        <v>52-55.</v>
      </c>
      <c r="F14" s="4"/>
      <c r="G14" s="4">
        <f>'[1](배민)매크로파일'!E14</f>
        <v>13700</v>
      </c>
      <c r="H14" s="4">
        <f>'[1](배민)매크로파일'!I14</f>
        <v>14800</v>
      </c>
      <c r="I14" s="4">
        <f>'[1](배민)매크로파일'!F14</f>
        <v>7700</v>
      </c>
      <c r="J14" s="4">
        <f>'[1](배민)매크로파일'!J14</f>
        <v>8800</v>
      </c>
    </row>
    <row r="15" spans="1:13">
      <c r="A15" s="4">
        <f>[1]!표2[[#This Row],[번호]]</f>
        <v>249961</v>
      </c>
      <c r="B15" s="4" t="str">
        <f>'[1](배민)매크로파일'!B15</f>
        <v>참맑은 망고 캔 175ml 30개</v>
      </c>
      <c r="C15" s="4">
        <f>VLOOKUP(A15,'[1](배민)일괄수정'!A:R,18,FALSE)</f>
        <v>510654</v>
      </c>
      <c r="D15" s="4" t="str">
        <f>'[1](배민)매크로파일'!B15</f>
        <v>참맑은 망고 캔 175ml 30개</v>
      </c>
      <c r="E15" s="5" t="str">
        <f>'[1](배민)매크로파일'!D15</f>
        <v>35-10</v>
      </c>
      <c r="F15" s="4"/>
      <c r="G15" s="4">
        <f>'[1](배민)매크로파일'!E15</f>
        <v>13300</v>
      </c>
      <c r="H15" s="4">
        <f>'[1](배민)매크로파일'!I15</f>
        <v>14500</v>
      </c>
      <c r="I15" s="4">
        <f>'[1](배민)매크로파일'!F15</f>
        <v>7300</v>
      </c>
      <c r="J15" s="4">
        <f>'[1](배민)매크로파일'!J15</f>
        <v>8500</v>
      </c>
    </row>
    <row r="16" spans="1:13">
      <c r="A16" s="4">
        <f>[1]!표2[[#This Row],[번호]]</f>
        <v>249946</v>
      </c>
      <c r="B16" s="4" t="str">
        <f>'[1](배민)매크로파일'!B16</f>
        <v>참맑은 파인애플 캔 175ml 30개</v>
      </c>
      <c r="C16" s="4">
        <f>VLOOKUP(A16,'[1](배민)일괄수정'!A:R,18,FALSE)</f>
        <v>510639</v>
      </c>
      <c r="D16" s="4" t="str">
        <f>'[1](배민)매크로파일'!B16</f>
        <v>참맑은 파인애플 캔 175ml 30개</v>
      </c>
      <c r="E16" s="5" t="str">
        <f>'[1](배민)매크로파일'!D16</f>
        <v>35-16-02</v>
      </c>
      <c r="F16" s="4"/>
      <c r="G16" s="4">
        <f>'[1](배민)매크로파일'!E16</f>
        <v>13200</v>
      </c>
      <c r="H16" s="4">
        <f>'[1](배민)매크로파일'!I16</f>
        <v>14400</v>
      </c>
      <c r="I16" s="4">
        <f>'[1](배민)매크로파일'!F16</f>
        <v>7200</v>
      </c>
      <c r="J16" s="4">
        <f>'[1](배민)매크로파일'!J16</f>
        <v>8400</v>
      </c>
    </row>
    <row r="17" spans="1:10">
      <c r="A17" s="4">
        <f>[1]!표2[[#This Row],[번호]]</f>
        <v>249935</v>
      </c>
      <c r="B17" s="4" t="str">
        <f>'[1](배민)매크로파일'!B17</f>
        <v>참맑은 매실 캔 175ml 30개</v>
      </c>
      <c r="C17" s="4">
        <f>VLOOKUP(A17,'[1](배민)일괄수정'!A:R,18,FALSE)</f>
        <v>510628</v>
      </c>
      <c r="D17" s="4" t="str">
        <f>'[1](배민)매크로파일'!B17</f>
        <v>참맑은 매실 캔 175ml 30개</v>
      </c>
      <c r="E17" s="5" t="str">
        <f>'[1](배민)매크로파일'!D17</f>
        <v>35-27-01</v>
      </c>
      <c r="F17" s="4"/>
      <c r="G17" s="4">
        <f>'[1](배민)매크로파일'!E17</f>
        <v>13300</v>
      </c>
      <c r="H17" s="4">
        <f>'[1](배민)매크로파일'!I17</f>
        <v>14600</v>
      </c>
      <c r="I17" s="4">
        <f>'[1](배민)매크로파일'!F17</f>
        <v>7300</v>
      </c>
      <c r="J17" s="4">
        <f>'[1](배민)매크로파일'!J17</f>
        <v>8600</v>
      </c>
    </row>
    <row r="18" spans="1:10">
      <c r="A18" s="4">
        <f>[1]!표2[[#This Row],[번호]]</f>
        <v>249882</v>
      </c>
      <c r="B18" s="4" t="str">
        <f>'[1](배민)매크로파일'!B18</f>
        <v>참맑은 참대추 175ml 30개</v>
      </c>
      <c r="C18" s="4">
        <f>VLOOKUP(A18,'[1](배민)일괄수정'!A:R,18,FALSE)</f>
        <v>510575</v>
      </c>
      <c r="D18" s="4" t="str">
        <f>'[1](배민)매크로파일'!B18</f>
        <v>참맑은 참대추 175ml 30개</v>
      </c>
      <c r="E18" s="5" t="str">
        <f>'[1](배민)매크로파일'!D18</f>
        <v>35-16</v>
      </c>
      <c r="F18" s="4"/>
      <c r="G18" s="4">
        <f>'[1](배민)매크로파일'!E18</f>
        <v>13800</v>
      </c>
      <c r="H18" s="4">
        <f>'[1](배민)매크로파일'!I18</f>
        <v>14800</v>
      </c>
      <c r="I18" s="4">
        <f>'[1](배민)매크로파일'!F18</f>
        <v>7800</v>
      </c>
      <c r="J18" s="4">
        <f>'[1](배민)매크로파일'!J18</f>
        <v>8800</v>
      </c>
    </row>
    <row r="19" spans="1:10">
      <c r="A19" s="4">
        <f>[1]!표2[[#This Row],[번호]]</f>
        <v>249880</v>
      </c>
      <c r="B19" s="4" t="str">
        <f>'[1](배민)매크로파일'!B19</f>
        <v>참맑은 제주감귤 캔 175ml 30개</v>
      </c>
      <c r="C19" s="4">
        <f>VLOOKUP(A19,'[1](배민)일괄수정'!A:R,18,FALSE)</f>
        <v>510573</v>
      </c>
      <c r="D19" s="4" t="str">
        <f>'[1](배민)매크로파일'!B19</f>
        <v>참맑은 제주감귤 캔 175ml 30개</v>
      </c>
      <c r="E19" s="5" t="str">
        <f>'[1](배민)매크로파일'!D19</f>
        <v>35-16-01</v>
      </c>
      <c r="F19" s="4"/>
      <c r="G19" s="4">
        <f>'[1](배민)매크로파일'!E19</f>
        <v>13300</v>
      </c>
      <c r="H19" s="4">
        <f>'[1](배민)매크로파일'!I19</f>
        <v>14600</v>
      </c>
      <c r="I19" s="4">
        <f>'[1](배민)매크로파일'!F19</f>
        <v>7300</v>
      </c>
      <c r="J19" s="4">
        <f>'[1](배민)매크로파일'!J19</f>
        <v>8600</v>
      </c>
    </row>
    <row r="20" spans="1:10">
      <c r="A20" s="4">
        <f>[1]!표2[[#This Row],[번호]]</f>
        <v>249817</v>
      </c>
      <c r="B20" s="4" t="str">
        <f>'[1](배민)매크로파일'!B20</f>
        <v>참맑은 벌꿀 캔175ml 30개</v>
      </c>
      <c r="C20" s="4">
        <f>VLOOKUP(A20,'[1](배민)일괄수정'!A:R,18,FALSE)</f>
        <v>510510</v>
      </c>
      <c r="D20" s="4" t="str">
        <f>'[1](배민)매크로파일'!B20</f>
        <v>참맑은 벌꿀 캔175ml 30개</v>
      </c>
      <c r="E20" s="5" t="str">
        <f>'[1](배민)매크로파일'!D20</f>
        <v>35-08</v>
      </c>
      <c r="F20" s="4"/>
      <c r="G20" s="4">
        <f>'[1](배민)매크로파일'!E20</f>
        <v>13700</v>
      </c>
      <c r="H20" s="4">
        <f>'[1](배민)매크로파일'!I20</f>
        <v>15200</v>
      </c>
      <c r="I20" s="4">
        <f>'[1](배민)매크로파일'!F20</f>
        <v>7700</v>
      </c>
      <c r="J20" s="4">
        <f>'[1](배민)매크로파일'!J20</f>
        <v>9200</v>
      </c>
    </row>
    <row r="21" spans="1:10">
      <c r="A21" s="4">
        <f>[1]!표2[[#This Row],[번호]]</f>
        <v>249786</v>
      </c>
      <c r="B21" s="4" t="str">
        <f>'[1](배민)매크로파일'!B21</f>
        <v>참맑은 복숭아 캔 175ml 30개</v>
      </c>
      <c r="C21" s="4">
        <f>VLOOKUP(A21,'[1](배민)일괄수정'!A:R,18,FALSE)</f>
        <v>510479</v>
      </c>
      <c r="D21" s="4" t="str">
        <f>'[1](배민)매크로파일'!B21</f>
        <v>참맑은 복숭아 캔 175ml 30개</v>
      </c>
      <c r="E21" s="5" t="str">
        <f>'[1](배민)매크로파일'!D21</f>
        <v>35-27</v>
      </c>
      <c r="F21" s="4"/>
      <c r="G21" s="4">
        <f>'[1](배민)매크로파일'!E21</f>
        <v>13500</v>
      </c>
      <c r="H21" s="4">
        <f>'[1](배민)매크로파일'!I21</f>
        <v>14900</v>
      </c>
      <c r="I21" s="4">
        <f>'[1](배민)매크로파일'!F21</f>
        <v>7500</v>
      </c>
      <c r="J21" s="4">
        <f>'[1](배민)매크로파일'!J21</f>
        <v>8900</v>
      </c>
    </row>
    <row r="22" spans="1:10">
      <c r="A22" s="4">
        <f>[1]!표2[[#This Row],[번호]]</f>
        <v>249741</v>
      </c>
      <c r="B22" s="4" t="str">
        <f>'[1](배민)매크로파일'!B22</f>
        <v>참맑은 헛개차 175ml  30캔</v>
      </c>
      <c r="C22" s="4">
        <f>VLOOKUP(A22,'[1](배민)일괄수정'!A:R,18,FALSE)</f>
        <v>510434</v>
      </c>
      <c r="D22" s="4" t="str">
        <f>'[1](배민)매크로파일'!B22</f>
        <v>참맑은 헛개차 175ml  30캔</v>
      </c>
      <c r="E22" s="5" t="str">
        <f>'[1](배민)매크로파일'!D22</f>
        <v>35-06</v>
      </c>
      <c r="F22" s="4"/>
      <c r="G22" s="4">
        <f>'[1](배민)매크로파일'!E22</f>
        <v>12700</v>
      </c>
      <c r="H22" s="4">
        <f>'[1](배민)매크로파일'!I22</f>
        <v>13600</v>
      </c>
      <c r="I22" s="4">
        <f>'[1](배민)매크로파일'!F22</f>
        <v>6700</v>
      </c>
      <c r="J22" s="4">
        <f>'[1](배민)매크로파일'!J22</f>
        <v>7600</v>
      </c>
    </row>
    <row r="23" spans="1:10">
      <c r="A23" s="4">
        <f>[1]!표2[[#This Row],[번호]]</f>
        <v>249736</v>
      </c>
      <c r="B23" s="4" t="str">
        <f>'[1](배민)매크로파일'!B23</f>
        <v>현대약품 비타업 100ml 100개</v>
      </c>
      <c r="C23" s="4">
        <f>VLOOKUP(A23,'[1](배민)일괄수정'!A:R,18,FALSE)</f>
        <v>510429</v>
      </c>
      <c r="D23" s="4" t="str">
        <f>'[1](배민)매크로파일'!B23</f>
        <v>현대약품 비타업 100ml 100개</v>
      </c>
      <c r="E23" s="5" t="str">
        <f>'[1](배민)매크로파일'!D23</f>
        <v>28-13-05</v>
      </c>
      <c r="F23" s="4"/>
      <c r="G23" s="4">
        <f>'[1](배민)매크로파일'!E23</f>
        <v>35600</v>
      </c>
      <c r="H23" s="4">
        <f>'[1](배민)매크로파일'!I23</f>
        <v>40000</v>
      </c>
      <c r="I23" s="4">
        <f>'[1](배민)매크로파일'!F23</f>
        <v>29600</v>
      </c>
      <c r="J23" s="4">
        <f>'[1](배민)매크로파일'!J23</f>
        <v>34000</v>
      </c>
    </row>
    <row r="24" spans="1:10">
      <c r="A24" s="4">
        <f>[1]!표2[[#This Row],[번호]]</f>
        <v>317574</v>
      </c>
      <c r="B24" s="4" t="str">
        <f>'[1](배민)매크로파일'!B24</f>
        <v>칠성 사이다 제로 250ml 30캔</v>
      </c>
      <c r="C24" s="4">
        <f>VLOOKUP(A24,'[1](배민)일괄수정'!A:R,18,FALSE)</f>
        <v>625275</v>
      </c>
      <c r="D24" s="4" t="str">
        <f>'[1](배민)매크로파일'!B24</f>
        <v>칠성 사이다 제로 250ml 30캔</v>
      </c>
      <c r="E24" s="5" t="str">
        <f>'[1](배민)매크로파일'!D24</f>
        <v>27-01-05</v>
      </c>
      <c r="F24" s="4"/>
      <c r="G24" s="4">
        <f>'[1](배민)매크로파일'!E24</f>
        <v>28300</v>
      </c>
      <c r="H24" s="4">
        <f>'[1](배민)매크로파일'!I24</f>
        <v>29000</v>
      </c>
      <c r="I24" s="4">
        <f>'[1](배민)매크로파일'!F24</f>
        <v>22300</v>
      </c>
      <c r="J24" s="4">
        <f>'[1](배민)매크로파일'!J24</f>
        <v>23000</v>
      </c>
    </row>
    <row r="25" spans="1:10">
      <c r="A25" s="4">
        <f>[1]!표2[[#This Row],[번호]]</f>
        <v>249690</v>
      </c>
      <c r="B25" s="4" t="str">
        <f>'[1](배민)매크로파일'!B25</f>
        <v>HC 강구나루 고등어 400g 24개</v>
      </c>
      <c r="C25" s="4">
        <f>VLOOKUP(A25,'[1](배민)일괄수정'!A:R,18,FALSE)</f>
        <v>510383</v>
      </c>
      <c r="D25" s="4" t="str">
        <f>'[1](배민)매크로파일'!B25</f>
        <v>HC 강구나루 고등어 400g 24개</v>
      </c>
      <c r="E25" s="5" t="str">
        <f>'[1](배민)매크로파일'!D25</f>
        <v>14-13</v>
      </c>
      <c r="F25" s="4"/>
      <c r="G25" s="4">
        <f>'[1](배민)매크로파일'!E25</f>
        <v>46200</v>
      </c>
      <c r="H25" s="4">
        <f>'[1](배민)매크로파일'!I25</f>
        <v>50600</v>
      </c>
      <c r="I25" s="4">
        <f>'[1](배민)매크로파일'!F25</f>
        <v>40200</v>
      </c>
      <c r="J25" s="4">
        <f>'[1](배민)매크로파일'!J25</f>
        <v>44600</v>
      </c>
    </row>
    <row r="26" spans="1:10">
      <c r="A26" s="4">
        <f>[1]!표2[[#This Row],[번호]]</f>
        <v>249824</v>
      </c>
      <c r="B26" s="4" t="str">
        <f>'[1](배민)매크로파일'!B26</f>
        <v>일화 맥콜 500ml 20개</v>
      </c>
      <c r="C26" s="4">
        <f>VLOOKUP(A26,'[1](배민)일괄수정'!A:R,18,FALSE)</f>
        <v>510517</v>
      </c>
      <c r="D26" s="4" t="str">
        <f>'[1](배민)매크로파일'!B26</f>
        <v>일화 맥콜 500ml 20개</v>
      </c>
      <c r="E26" s="5" t="str">
        <f>'[1](배민)매크로파일'!D26</f>
        <v>29-03</v>
      </c>
      <c r="F26" s="4"/>
      <c r="G26" s="4">
        <f>'[1](배민)매크로파일'!E26</f>
        <v>23900</v>
      </c>
      <c r="H26" s="4">
        <f>'[1](배민)매크로파일'!I26</f>
        <v>24500</v>
      </c>
      <c r="I26" s="4">
        <f>'[1](배민)매크로파일'!F26</f>
        <v>17900</v>
      </c>
      <c r="J26" s="4">
        <f>'[1](배민)매크로파일'!J26</f>
        <v>18500</v>
      </c>
    </row>
    <row r="27" spans="1:10">
      <c r="A27" s="4">
        <f>[1]!표2[[#This Row],[번호]]</f>
        <v>249752</v>
      </c>
      <c r="B27" s="4" t="str">
        <f>'[1](배민)매크로파일'!B27</f>
        <v>참맑은 옥수수 수염차 175ml 30캔</v>
      </c>
      <c r="C27" s="4">
        <f>VLOOKUP(A27,'[1](배민)일괄수정'!A:R,18,FALSE)</f>
        <v>510445</v>
      </c>
      <c r="D27" s="4" t="str">
        <f>'[1](배민)매크로파일'!B27</f>
        <v>참맑은 옥수수 수염차 175ml 30캔</v>
      </c>
      <c r="E27" s="5" t="str">
        <f>'[1](배민)매크로파일'!D27</f>
        <v>35-01</v>
      </c>
      <c r="F27" s="4"/>
      <c r="G27" s="4">
        <f>'[1](배민)매크로파일'!E27</f>
        <v>12900</v>
      </c>
      <c r="H27" s="4">
        <f>'[1](배민)매크로파일'!I27</f>
        <v>13600</v>
      </c>
      <c r="I27" s="4">
        <f>'[1](배민)매크로파일'!F27</f>
        <v>6900</v>
      </c>
      <c r="J27" s="4">
        <f>'[1](배민)매크로파일'!J27</f>
        <v>7600</v>
      </c>
    </row>
    <row r="28" spans="1:10">
      <c r="A28" s="4">
        <f>[1]!표2[[#This Row],[번호]]</f>
        <v>249661</v>
      </c>
      <c r="B28" s="4" t="str">
        <f>'[1](배민)매크로파일'!B28</f>
        <v>델몬트 파인애플 통조림 836g 24개</v>
      </c>
      <c r="C28" s="4">
        <f>VLOOKUP(A28,'[1](배민)일괄수정'!A:R,18,FALSE)</f>
        <v>510354</v>
      </c>
      <c r="D28" s="4" t="str">
        <f>'[1](배민)매크로파일'!B28</f>
        <v>델몬트 파인애플 통조림 836g 24개</v>
      </c>
      <c r="E28" s="5" t="str">
        <f>'[1](배민)매크로파일'!D28</f>
        <v>17-01</v>
      </c>
      <c r="F28" s="4"/>
      <c r="G28" s="4">
        <f>'[1](배민)매크로파일'!E28</f>
        <v>96700</v>
      </c>
      <c r="H28" s="4">
        <f>'[1](배민)매크로파일'!I28</f>
        <v>102400</v>
      </c>
      <c r="I28" s="4">
        <f>'[1](배민)매크로파일'!F28</f>
        <v>90700</v>
      </c>
      <c r="J28" s="4">
        <f>'[1](배민)매크로파일'!J28</f>
        <v>96400</v>
      </c>
    </row>
  </sheetData>
  <phoneticPr fontId="2" type="noConversion"/>
  <conditionalFormatting sqref="M2">
    <cfRule type="cellIs" dxfId="7" priority="5" operator="equal">
      <formula>"20% 이상 높은 가격"</formula>
    </cfRule>
    <cfRule type="cellIs" dxfId="6" priority="6" operator="equal">
      <formula>"20% 이상 낮은 가격"</formula>
    </cfRule>
  </conditionalFormatting>
  <conditionalFormatting sqref="B1:B1048576">
    <cfRule type="duplicateValues" dxfId="5" priority="4"/>
  </conditionalFormatting>
  <conditionalFormatting sqref="A1:A1048576">
    <cfRule type="duplicateValues" dxfId="4" priority="1"/>
    <cfRule type="duplicateValues" dxfId="3" priority="2"/>
    <cfRule type="duplicateValues" dxfId="2" priority="3"/>
  </conditionalFormatting>
  <conditionalFormatting sqref="C2:C28">
    <cfRule type="duplicateValues" dxfId="1" priority="7"/>
  </conditionalFormatting>
  <conditionalFormatting sqref="A2:A28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(배민)양식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jeong</dc:creator>
  <cp:lastModifiedBy>sang jeong</cp:lastModifiedBy>
  <dcterms:created xsi:type="dcterms:W3CDTF">2026-06-11T04:33:58Z</dcterms:created>
  <dcterms:modified xsi:type="dcterms:W3CDTF">2026-06-11T04:34:07Z</dcterms:modified>
</cp:coreProperties>
</file>